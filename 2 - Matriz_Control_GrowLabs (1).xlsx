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:\15 - Grow Labs\"/>
    </mc:Choice>
  </mc:AlternateContent>
  <xr:revisionPtr revIDLastSave="0" documentId="13_ncr:1_{361AC07D-FA4B-4DE1-B003-EE09E7838500}" xr6:coauthVersionLast="47" xr6:coauthVersionMax="47" xr10:uidLastSave="{00000000-0000-0000-0000-000000000000}"/>
  <bookViews>
    <workbookView xWindow="-108" yWindow="-108" windowWidth="23256" windowHeight="12576" activeTab="1" xr2:uid="{00000000-000D-0000-FFFF-FFFF00000000}"/>
  </bookViews>
  <sheets>
    <sheet name="Dashboard" sheetId="1" r:id="rId1"/>
    <sheet name="Matriz_Control" sheetId="2" r:id="rId2"/>
    <sheet name="Registro_Reuniones" sheetId="3" r:id="rId3"/>
    <sheet name="Guia_Uso" sheetId="4" r:id="rId4"/>
    <sheet name="Listas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04" i="2" l="1"/>
  <c r="M104" i="2"/>
  <c r="N103" i="2"/>
  <c r="M103" i="2"/>
  <c r="N102" i="2"/>
  <c r="M102" i="2"/>
  <c r="N101" i="2"/>
  <c r="M101" i="2"/>
  <c r="N100" i="2"/>
  <c r="M100" i="2"/>
  <c r="N99" i="2"/>
  <c r="M99" i="2"/>
  <c r="N98" i="2"/>
  <c r="M98" i="2"/>
  <c r="N97" i="2"/>
  <c r="M97" i="2"/>
  <c r="N96" i="2"/>
  <c r="M96" i="2"/>
  <c r="N95" i="2"/>
  <c r="M95" i="2"/>
  <c r="N94" i="2"/>
  <c r="M94" i="2"/>
  <c r="N93" i="2"/>
  <c r="M93" i="2"/>
  <c r="N92" i="2"/>
  <c r="M92" i="2"/>
  <c r="N91" i="2"/>
  <c r="M91" i="2"/>
  <c r="N90" i="2"/>
  <c r="M90" i="2"/>
  <c r="N89" i="2"/>
  <c r="M89" i="2"/>
  <c r="N88" i="2"/>
  <c r="M88" i="2"/>
  <c r="N87" i="2"/>
  <c r="M87" i="2"/>
  <c r="N86" i="2"/>
  <c r="M86" i="2"/>
  <c r="N85" i="2"/>
  <c r="M85" i="2"/>
  <c r="N84" i="2"/>
  <c r="M84" i="2"/>
  <c r="N83" i="2"/>
  <c r="M83" i="2"/>
  <c r="N82" i="2"/>
  <c r="M82" i="2"/>
  <c r="N81" i="2"/>
  <c r="M81" i="2"/>
  <c r="N80" i="2"/>
  <c r="M80" i="2"/>
  <c r="N79" i="2"/>
  <c r="M79" i="2"/>
  <c r="N78" i="2"/>
  <c r="M78" i="2"/>
  <c r="N77" i="2"/>
  <c r="M77" i="2"/>
  <c r="N76" i="2"/>
  <c r="M76" i="2"/>
  <c r="N75" i="2"/>
  <c r="M75" i="2"/>
  <c r="N74" i="2"/>
  <c r="M74" i="2"/>
  <c r="N73" i="2"/>
  <c r="M73" i="2"/>
  <c r="N72" i="2"/>
  <c r="M72" i="2"/>
  <c r="N71" i="2"/>
  <c r="M71" i="2"/>
  <c r="N70" i="2"/>
  <c r="M70" i="2"/>
  <c r="N69" i="2"/>
  <c r="M69" i="2"/>
  <c r="N68" i="2"/>
  <c r="M68" i="2"/>
  <c r="N67" i="2"/>
  <c r="M67" i="2"/>
  <c r="N66" i="2"/>
  <c r="M66" i="2"/>
  <c r="N65" i="2"/>
  <c r="M65" i="2"/>
  <c r="N64" i="2"/>
  <c r="M64" i="2"/>
  <c r="N63" i="2"/>
  <c r="M63" i="2"/>
  <c r="N62" i="2"/>
  <c r="M62" i="2"/>
  <c r="N61" i="2"/>
  <c r="M61" i="2"/>
  <c r="N60" i="2"/>
  <c r="M60" i="2"/>
  <c r="N59" i="2"/>
  <c r="M59" i="2"/>
  <c r="N58" i="2"/>
  <c r="M58" i="2"/>
  <c r="N57" i="2"/>
  <c r="M57" i="2"/>
  <c r="N56" i="2"/>
  <c r="M56" i="2"/>
  <c r="N55" i="2"/>
  <c r="M55" i="2"/>
  <c r="N54" i="2"/>
  <c r="M54" i="2"/>
  <c r="N53" i="2"/>
  <c r="M53" i="2"/>
  <c r="N52" i="2"/>
  <c r="M52" i="2"/>
  <c r="N51" i="2"/>
  <c r="M51" i="2"/>
  <c r="N50" i="2"/>
  <c r="M50" i="2"/>
  <c r="N49" i="2"/>
  <c r="M49" i="2"/>
  <c r="N48" i="2"/>
  <c r="M48" i="2"/>
  <c r="N47" i="2"/>
  <c r="M47" i="2"/>
  <c r="N46" i="2"/>
  <c r="M46" i="2"/>
  <c r="N45" i="2"/>
  <c r="M45" i="2"/>
  <c r="N44" i="2"/>
  <c r="M44" i="2"/>
  <c r="N43" i="2"/>
  <c r="M43" i="2"/>
  <c r="N42" i="2"/>
  <c r="M42" i="2"/>
  <c r="N41" i="2"/>
  <c r="M41" i="2"/>
  <c r="N40" i="2"/>
  <c r="M40" i="2"/>
  <c r="N39" i="2"/>
  <c r="M39" i="2"/>
  <c r="N38" i="2"/>
  <c r="M38" i="2"/>
  <c r="N37" i="2"/>
  <c r="M37" i="2"/>
  <c r="N36" i="2"/>
  <c r="M36" i="2"/>
  <c r="N35" i="2"/>
  <c r="M35" i="2"/>
  <c r="N34" i="2"/>
  <c r="M34" i="2"/>
  <c r="N33" i="2"/>
  <c r="M33" i="2"/>
  <c r="N32" i="2"/>
  <c r="M32" i="2"/>
  <c r="N31" i="2"/>
  <c r="M31" i="2"/>
  <c r="N30" i="2"/>
  <c r="M30" i="2"/>
  <c r="N29" i="2"/>
  <c r="M29" i="2"/>
  <c r="N28" i="2"/>
  <c r="M28" i="2"/>
  <c r="N27" i="2"/>
  <c r="M27" i="2"/>
  <c r="N26" i="2"/>
  <c r="M26" i="2"/>
  <c r="N25" i="2"/>
  <c r="M25" i="2"/>
  <c r="N24" i="2"/>
  <c r="M24" i="2"/>
  <c r="N23" i="2"/>
  <c r="M23" i="2"/>
  <c r="N22" i="2"/>
  <c r="M22" i="2"/>
  <c r="N21" i="2"/>
  <c r="M21" i="2"/>
  <c r="N20" i="2"/>
  <c r="M20" i="2"/>
  <c r="N19" i="2"/>
  <c r="M19" i="2"/>
  <c r="N18" i="2"/>
  <c r="M18" i="2"/>
  <c r="N17" i="2"/>
  <c r="M17" i="2"/>
  <c r="N16" i="2"/>
  <c r="M16" i="2"/>
  <c r="N15" i="2"/>
  <c r="M15" i="2"/>
  <c r="N14" i="2"/>
  <c r="M14" i="2"/>
  <c r="N13" i="2"/>
  <c r="M13" i="2"/>
  <c r="N12" i="2"/>
  <c r="M12" i="2"/>
  <c r="N11" i="2"/>
  <c r="M11" i="2"/>
  <c r="N10" i="2"/>
  <c r="M10" i="2"/>
  <c r="N9" i="2"/>
  <c r="M9" i="2"/>
  <c r="N8" i="2"/>
  <c r="M8" i="2"/>
  <c r="N7" i="2"/>
  <c r="M7" i="2"/>
  <c r="N6" i="2"/>
  <c r="M6" i="2"/>
  <c r="N5" i="2"/>
  <c r="M5" i="2"/>
  <c r="C26" i="1"/>
  <c r="B26" i="1"/>
  <c r="C25" i="1"/>
  <c r="B25" i="1"/>
  <c r="C24" i="1"/>
  <c r="B24" i="1"/>
  <c r="I21" i="1"/>
  <c r="I20" i="1"/>
  <c r="I19" i="1"/>
  <c r="F19" i="1"/>
  <c r="E19" i="1"/>
  <c r="D19" i="1"/>
  <c r="C19" i="1"/>
  <c r="B19" i="1"/>
  <c r="I18" i="1"/>
  <c r="F18" i="1"/>
  <c r="E18" i="1"/>
  <c r="D18" i="1"/>
  <c r="C18" i="1"/>
  <c r="B18" i="1"/>
  <c r="I17" i="1"/>
  <c r="F17" i="1"/>
  <c r="E17" i="1"/>
  <c r="D17" i="1"/>
  <c r="C17" i="1"/>
  <c r="B17" i="1"/>
  <c r="I16" i="1"/>
  <c r="F16" i="1"/>
  <c r="E16" i="1"/>
  <c r="D16" i="1"/>
  <c r="C16" i="1"/>
  <c r="B16" i="1"/>
  <c r="I15" i="1"/>
  <c r="F15" i="1"/>
  <c r="E15" i="1"/>
  <c r="D15" i="1"/>
  <c r="C15" i="1"/>
  <c r="B15" i="1"/>
  <c r="I14" i="1"/>
  <c r="F14" i="1"/>
  <c r="E14" i="1"/>
  <c r="D14" i="1"/>
  <c r="C14" i="1"/>
  <c r="B14" i="1"/>
  <c r="J9" i="1"/>
  <c r="G9" i="1"/>
  <c r="D9" i="1"/>
  <c r="A9" i="1"/>
  <c r="J5" i="1"/>
  <c r="G5" i="1"/>
  <c r="D5" i="1"/>
  <c r="A5" i="1"/>
</calcChain>
</file>

<file path=xl/sharedStrings.xml><?xml version="1.0" encoding="utf-8"?>
<sst xmlns="http://schemas.openxmlformats.org/spreadsheetml/2006/main" count="324" uniqueCount="171">
  <si>
    <t>DASHBOARD DE CONTROL | GROW LABS</t>
  </si>
  <si>
    <t>Indicadores automáticos para controlar el orden estratégico, comercial y operativo de la empresa.</t>
  </si>
  <si>
    <t>Total acciones</t>
  </si>
  <si>
    <t>Completadas</t>
  </si>
  <si>
    <t>En curso</t>
  </si>
  <si>
    <t>Pendientes</t>
  </si>
  <si>
    <t>Bloqueadas</t>
  </si>
  <si>
    <t>Vencidas</t>
  </si>
  <si>
    <t>Próximos 7 días</t>
  </si>
  <si>
    <t>% avance general</t>
  </si>
  <si>
    <t>Fase</t>
  </si>
  <si>
    <t>Total</t>
  </si>
  <si>
    <t>% Avance</t>
  </si>
  <si>
    <t>Estado</t>
  </si>
  <si>
    <t>Cantidad</t>
  </si>
  <si>
    <t>Fase 1 - Orden estratégico</t>
  </si>
  <si>
    <t>Pendiente</t>
  </si>
  <si>
    <t>Fase 2 - Modelo de negocio</t>
  </si>
  <si>
    <t>En análisis</t>
  </si>
  <si>
    <t>Fase 3 - Sistema comercial</t>
  </si>
  <si>
    <t>Fase 4 - Sistema operativo</t>
  </si>
  <si>
    <t>En revisión</t>
  </si>
  <si>
    <t>Fase 5 - Gestión interna</t>
  </si>
  <si>
    <t>Completado</t>
  </si>
  <si>
    <t>Fase 6 - Plan 30/60/90</t>
  </si>
  <si>
    <t>Bloqueado</t>
  </si>
  <si>
    <t>Postergado</t>
  </si>
  <si>
    <t>Cancelado</t>
  </si>
  <si>
    <t>Prioridad</t>
  </si>
  <si>
    <t>FOCO DE LA SEMANA</t>
  </si>
  <si>
    <t>Alta</t>
  </si>
  <si>
    <t>Revisar tareas vencidas y bloqueadas.</t>
  </si>
  <si>
    <t>Media</t>
  </si>
  <si>
    <t>Actualizar estados de la Matriz_Control.</t>
  </si>
  <si>
    <t>Baja</t>
  </si>
  <si>
    <t>Registrar decisiones tomadas con Lucas.</t>
  </si>
  <si>
    <t>Definir próximos pasos con responsable y fecha.</t>
  </si>
  <si>
    <t>Cerrar o reprogramar lo que no avance.</t>
  </si>
  <si>
    <t>Mantener pocas prioridades activas para no dispersarse.</t>
  </si>
  <si>
    <t>MATRIZ DE CONTROL | GROW LABS</t>
  </si>
  <si>
    <t>Carga aquí las fases, decisiones, tareas, responsables, fechas y estados. El Dashboard se actualiza automáticamente.</t>
  </si>
  <si>
    <t>ID</t>
  </si>
  <si>
    <t>Tipo</t>
  </si>
  <si>
    <t>Tarea / Decisión / Entregable</t>
  </si>
  <si>
    <t>Resultado esperado</t>
  </si>
  <si>
    <t>Responsable</t>
  </si>
  <si>
    <t>Fecha inicio</t>
  </si>
  <si>
    <t>Fecha objetivo</t>
  </si>
  <si>
    <t>Fecha cierre</t>
  </si>
  <si>
    <t>% avance</t>
  </si>
  <si>
    <t>Días restantes</t>
  </si>
  <si>
    <t>Semáforo</t>
  </si>
  <si>
    <t>Observaciones / Próximo paso</t>
  </si>
  <si>
    <t>Reunión</t>
  </si>
  <si>
    <t>Realizar reunión fundacional Lucas + Gustavo</t>
  </si>
  <si>
    <t>Alinear visión, roles y prioridades iniciales</t>
  </si>
  <si>
    <t>Lucas + Gustavo</t>
  </si>
  <si>
    <t>Usar agenda de bases de Grow Labs</t>
  </si>
  <si>
    <t>Documento</t>
  </si>
  <si>
    <t>Redactar diagnóstico actual de Grow Labs</t>
  </si>
  <si>
    <t>Fortalezas, debilidades, riesgos y oportunidades claros</t>
  </si>
  <si>
    <t>Gustavo</t>
  </si>
  <si>
    <t>Decisión</t>
  </si>
  <si>
    <t>Definir propósito, visión y misión</t>
  </si>
  <si>
    <t>Identidad estratégica escrita</t>
  </si>
  <si>
    <t>Definir objetivos 2026</t>
  </si>
  <si>
    <t>Objetivos claros, medibles y accionables</t>
  </si>
  <si>
    <t>Mapear servicios actuales de Grow Labs</t>
  </si>
  <si>
    <t>Servicios ordenados en principales, secundarios y futuros</t>
  </si>
  <si>
    <t>Definir cliente ideal</t>
  </si>
  <si>
    <t>Perfil de cliente objetivo y clientes a evitar</t>
  </si>
  <si>
    <t>Redactar propuesta de valor</t>
  </si>
  <si>
    <t>Mensaje comercial claro y defendible</t>
  </si>
  <si>
    <t>Definir formas de cobro</t>
  </si>
  <si>
    <t>Modelos: diagnóstico, proyecto, mensualidad y mantenimiento</t>
  </si>
  <si>
    <t>Matriz</t>
  </si>
  <si>
    <t>Crear matriz de servicios a priorizar/postergar</t>
  </si>
  <si>
    <t>Criterio para decidir qué vender ahora</t>
  </si>
  <si>
    <t>Proceso</t>
  </si>
  <si>
    <t>Crear protocolo de primer contacto</t>
  </si>
  <si>
    <t>Saber qué hacer cuando un cliente consulta</t>
  </si>
  <si>
    <t>Plantilla</t>
  </si>
  <si>
    <t>Diseñar ficha de diagnóstico del cliente</t>
  </si>
  <si>
    <t>Capturar datos mínimos antes de presupuestar</t>
  </si>
  <si>
    <t>Guion</t>
  </si>
  <si>
    <t>Armar guion de primera reunión comercial</t>
  </si>
  <si>
    <t>Reuniones más ordenadas y orientadas a diagnóstico</t>
  </si>
  <si>
    <t>Crear plantilla de propuesta comercial</t>
  </si>
  <si>
    <t>Propuestas claras, comparables y profesionales</t>
  </si>
  <si>
    <t>Definir seguimiento de oportunidades</t>
  </si>
  <si>
    <t>Estados comerciales y próximos pasos definidos</t>
  </si>
  <si>
    <t>Crear proceso de onboarding del cliente</t>
  </si>
  <si>
    <t>Inicio de proyecto ordenado y sin improvisación</t>
  </si>
  <si>
    <t>Checklist</t>
  </si>
  <si>
    <t>Armar checklist de información inicial</t>
  </si>
  <si>
    <t>Datos, accesos y documentos requeridos por proyecto</t>
  </si>
  <si>
    <t>Tablero</t>
  </si>
  <si>
    <t>Definir tablero de seguimiento de proyectos</t>
  </si>
  <si>
    <t>Control de avances por cliente y entregable</t>
  </si>
  <si>
    <t>Crear modelo de informe de avance</t>
  </si>
  <si>
    <t>Comunicación profesional con clientes</t>
  </si>
  <si>
    <t>Política</t>
  </si>
  <si>
    <t>Definir política de cambios de alcance</t>
  </si>
  <si>
    <t>Evitar pedidos fuera de alcance sin control</t>
  </si>
  <si>
    <t>Definir roles Lucas / Gustavo</t>
  </si>
  <si>
    <t>Responsabilidades y decisiones claras</t>
  </si>
  <si>
    <t>Rutina</t>
  </si>
  <si>
    <t>Instalar reunión semanal de gestión</t>
  </si>
  <si>
    <t>Seguimiento constante de prioridades</t>
  </si>
  <si>
    <t>Frecuencia sugerida: 1 vez por semana</t>
  </si>
  <si>
    <t>Registro</t>
  </si>
  <si>
    <t>Crear registro de decisiones</t>
  </si>
  <si>
    <t>Que las decisiones no queden en WhatsApp o memoria</t>
  </si>
  <si>
    <t>Indicadores</t>
  </si>
  <si>
    <t>Definir indicadores mínimos de gestión</t>
  </si>
  <si>
    <t>Medir avance, ventas, proyectos y calidad</t>
  </si>
  <si>
    <t>Plan</t>
  </si>
  <si>
    <t>Armar plan de acción a 30 días</t>
  </si>
  <si>
    <t>Acciones urgentes y responsables claros</t>
  </si>
  <si>
    <t>Armar plan de acción a 60 días</t>
  </si>
  <si>
    <t>Consolidar modelo comercial y operativo</t>
  </si>
  <si>
    <t>Armar plan de acción a 90 días</t>
  </si>
  <si>
    <t>Sistema inicial de empresa funcionando</t>
  </si>
  <si>
    <t>Manual</t>
  </si>
  <si>
    <t>Consolidar manual operativo v1.0</t>
  </si>
  <si>
    <t>Primer manual práctico de Grow Labs</t>
  </si>
  <si>
    <t>REGISTRO DE REUNIONES Y DECISIONES | GROW LABS</t>
  </si>
  <si>
    <t>Fecha</t>
  </si>
  <si>
    <t>Tema</t>
  </si>
  <si>
    <t>Decisión / Acuerdo</t>
  </si>
  <si>
    <t>Próximo paso</t>
  </si>
  <si>
    <t>Fecha compromiso</t>
  </si>
  <si>
    <t>Observaciones</t>
  </si>
  <si>
    <t>Semanal</t>
  </si>
  <si>
    <t>Reunión de gestión</t>
  </si>
  <si>
    <t>Estratégica</t>
  </si>
  <si>
    <t>Bases de Grow Labs</t>
  </si>
  <si>
    <t>GUÍA RÁPIDA DE USO | MATRIZ DE CONTROL GROW LABS</t>
  </si>
  <si>
    <t>Objetivo de la planilla</t>
  </si>
  <si>
    <t>Controlar el orden inicial de Grow Labs: estrategia, modelo de negocio, sistema comercial, sistema operativo, gestión interna y plan 30/60/90 días. La matriz permite transformar conversaciones en tareas, decisiones y entregables medibles.</t>
  </si>
  <si>
    <t>Cómo llenarla semana a semana</t>
  </si>
  <si>
    <t>1</t>
  </si>
  <si>
    <t>Ir a Matriz_Control.</t>
  </si>
  <si>
    <t>Completar o actualizar las tareas y decisiones activas.</t>
  </si>
  <si>
    <t>2</t>
  </si>
  <si>
    <t>Elegir Fase, Responsable, Prioridad y Estado.</t>
  </si>
  <si>
    <t>Usar las listas desplegables para mantener el orden.</t>
  </si>
  <si>
    <t>3</t>
  </si>
  <si>
    <t>Colocar Fecha objetivo.</t>
  </si>
  <si>
    <t>La planilla calcula días restantes y semáforo automáticamente.</t>
  </si>
  <si>
    <t>4</t>
  </si>
  <si>
    <t>Actualizar % avance.</t>
  </si>
  <si>
    <t>Usar 0%, 25%, 50%, 75% o 100% según avance real.</t>
  </si>
  <si>
    <t>5</t>
  </si>
  <si>
    <t>Revisar Dashboard.</t>
  </si>
  <si>
    <t>Controlar avance general, vencidas, bloqueadas y próximos 7 días.</t>
  </si>
  <si>
    <t>6</t>
  </si>
  <si>
    <t>Registrar decisiones.</t>
  </si>
  <si>
    <t>Usar Registro_Reuniones para no depender de WhatsApp o memoria.</t>
  </si>
  <si>
    <t>Regla de gestión</t>
  </si>
  <si>
    <t>Cada reunión con Lucas debe terminar con tres cosas: una decisión escrita, una tarea con responsable o un proceso que se pueda repetir. Si no queda cargado en la matriz, no existe como compromiso de gestión.</t>
  </si>
  <si>
    <t>Fases</t>
  </si>
  <si>
    <t>Estados</t>
  </si>
  <si>
    <t>Prioridades</t>
  </si>
  <si>
    <t>Responsables</t>
  </si>
  <si>
    <t>Si/No</t>
  </si>
  <si>
    <t>Sí</t>
  </si>
  <si>
    <t>Lucas</t>
  </si>
  <si>
    <t>No</t>
  </si>
  <si>
    <t>Equipo</t>
  </si>
  <si>
    <t>Cliente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</si>
</sst>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10">
    <font>
      <sz val="11"/>
      <name val="Carlito"/>
    </font>
    <font>
      <b/>
      <sz val="11"/>
      <color rgb="FFFFFFFF"/>
      <name val="Carlito"/>
    </font>
    <font>
      <b/>
      <sz val="18"/>
      <color rgb="FFFFFFFF"/>
      <name val="Carlito"/>
    </font>
    <font>
      <b/>
      <sz val="11"/>
      <color rgb="FF071A2C"/>
      <name val="Carlito"/>
    </font>
    <font>
      <sz val="10"/>
      <color rgb="FF111827"/>
      <name val="Carlito"/>
    </font>
    <font>
      <b/>
      <sz val="16"/>
      <color rgb="FFFFFFFF"/>
      <name val="Carlito"/>
    </font>
    <font>
      <sz val="10"/>
      <name val="Carlito"/>
    </font>
    <font>
      <b/>
      <sz val="20"/>
      <color rgb="FFFFFFFF"/>
      <name val="Carlito"/>
    </font>
    <font>
      <b/>
      <sz val="12"/>
      <color rgb="FF071A2C"/>
      <name val="Carlito"/>
    </font>
    <font>
      <b/>
      <sz val="24"/>
      <color rgb="FF071A2C"/>
      <name val="Carlito"/>
    </font>
  </fonts>
  <fills count="6">
    <fill>
      <patternFill patternType="none"/>
    </fill>
    <fill>
      <patternFill patternType="gray125"/>
    </fill>
    <fill>
      <patternFill patternType="solid">
        <fgColor rgb="FF071A2C"/>
      </patternFill>
    </fill>
    <fill>
      <patternFill patternType="solid">
        <fgColor rgb="FF22C55E"/>
      </patternFill>
    </fill>
    <fill>
      <patternFill patternType="solid">
        <fgColor rgb="FF0B2742"/>
      </patternFill>
    </fill>
    <fill>
      <patternFill patternType="solid">
        <fgColor rgb="FFF8FAFC"/>
      </patternFill>
    </fill>
  </fills>
  <borders count="19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91">
    <xf numFmtId="0" fontId="0" fillId="0" borderId="0" xfId="0"/>
    <xf numFmtId="0" fontId="1" fillId="2" borderId="0" xfId="0" applyFont="1" applyFill="1" applyAlignment="1">
      <alignment horizontal="center"/>
    </xf>
    <xf numFmtId="0" fontId="1" fillId="4" borderId="1" xfId="0" applyFont="1" applyFill="1" applyBorder="1" applyAlignment="1">
      <alignment horizontal="center" vertical="center" wrapText="1"/>
    </xf>
    <xf numFmtId="0" fontId="1" fillId="4" borderId="2" xfId="0" applyFont="1" applyFill="1" applyBorder="1" applyAlignment="1">
      <alignment horizontal="center" vertical="center" wrapText="1"/>
    </xf>
    <xf numFmtId="0" fontId="1" fillId="4" borderId="3" xfId="0" applyFont="1" applyFill="1" applyBorder="1" applyAlignment="1">
      <alignment horizontal="center" vertical="center" wrapText="1"/>
    </xf>
    <xf numFmtId="0" fontId="4" fillId="0" borderId="5" xfId="0" applyFont="1" applyBorder="1" applyAlignment="1">
      <alignment vertical="top" wrapText="1"/>
    </xf>
    <xf numFmtId="0" fontId="4" fillId="0" borderId="6" xfId="0" applyFont="1" applyBorder="1" applyAlignment="1">
      <alignment vertical="top" wrapText="1"/>
    </xf>
    <xf numFmtId="0" fontId="4" fillId="0" borderId="8" xfId="0" applyFont="1" applyBorder="1" applyAlignment="1">
      <alignment vertical="top" wrapText="1"/>
    </xf>
    <xf numFmtId="0" fontId="4" fillId="0" borderId="9" xfId="0" applyFont="1" applyBorder="1" applyAlignment="1">
      <alignment vertical="top" wrapText="1"/>
    </xf>
    <xf numFmtId="0" fontId="4" fillId="0" borderId="4" xfId="0" applyFont="1" applyBorder="1" applyAlignment="1">
      <alignment horizontal="center" vertical="top" wrapText="1"/>
    </xf>
    <xf numFmtId="0" fontId="4" fillId="0" borderId="7" xfId="0" applyFont="1" applyBorder="1" applyAlignment="1">
      <alignment horizontal="center" vertical="top" wrapText="1"/>
    </xf>
    <xf numFmtId="0" fontId="4" fillId="0" borderId="5" xfId="0" applyFont="1" applyBorder="1" applyAlignment="1">
      <alignment horizontal="center" vertical="top" wrapText="1"/>
    </xf>
    <xf numFmtId="164" fontId="4" fillId="0" borderId="5" xfId="0" applyNumberFormat="1" applyFont="1" applyBorder="1" applyAlignment="1">
      <alignment horizontal="center" vertical="top" wrapText="1"/>
    </xf>
    <xf numFmtId="9" fontId="4" fillId="0" borderId="5" xfId="0" applyNumberFormat="1" applyFont="1" applyBorder="1" applyAlignment="1">
      <alignment horizontal="center" vertical="top" wrapText="1"/>
    </xf>
    <xf numFmtId="0" fontId="4" fillId="0" borderId="8" xfId="0" applyFont="1" applyBorder="1" applyAlignment="1">
      <alignment horizontal="center" vertical="top" wrapText="1"/>
    </xf>
    <xf numFmtId="164" fontId="4" fillId="0" borderId="8" xfId="0" applyNumberFormat="1" applyFont="1" applyBorder="1" applyAlignment="1">
      <alignment horizontal="center" vertical="top" wrapText="1"/>
    </xf>
    <xf numFmtId="9" fontId="4" fillId="0" borderId="8" xfId="0" applyNumberFormat="1" applyFont="1" applyBorder="1" applyAlignment="1">
      <alignment horizontal="center" vertical="top" wrapText="1"/>
    </xf>
    <xf numFmtId="0" fontId="6" fillId="0" borderId="5" xfId="0" applyFont="1" applyBorder="1" applyAlignment="1">
      <alignment vertical="top" wrapText="1"/>
    </xf>
    <xf numFmtId="0" fontId="6" fillId="0" borderId="6" xfId="0" applyFont="1" applyBorder="1" applyAlignment="1">
      <alignment vertical="top" wrapText="1"/>
    </xf>
    <xf numFmtId="0" fontId="6" fillId="0" borderId="8" xfId="0" applyFont="1" applyBorder="1" applyAlignment="1">
      <alignment vertical="top" wrapText="1"/>
    </xf>
    <xf numFmtId="0" fontId="6" fillId="0" borderId="9" xfId="0" applyFont="1" applyBorder="1" applyAlignment="1">
      <alignment vertical="top" wrapText="1"/>
    </xf>
    <xf numFmtId="164" fontId="6" fillId="0" borderId="4" xfId="0" applyNumberFormat="1" applyFont="1" applyBorder="1" applyAlignment="1">
      <alignment vertical="top" wrapText="1"/>
    </xf>
    <xf numFmtId="164" fontId="6" fillId="0" borderId="7" xfId="0" applyNumberFormat="1" applyFont="1" applyBorder="1" applyAlignment="1">
      <alignment vertical="top" wrapText="1"/>
    </xf>
    <xf numFmtId="164" fontId="6" fillId="0" borderId="5" xfId="0" applyNumberFormat="1" applyFont="1" applyBorder="1" applyAlignment="1">
      <alignment vertical="top" wrapText="1"/>
    </xf>
    <xf numFmtId="164" fontId="6" fillId="0" borderId="8" xfId="0" applyNumberFormat="1" applyFont="1" applyBorder="1" applyAlignment="1">
      <alignment vertical="top" wrapText="1"/>
    </xf>
    <xf numFmtId="0" fontId="1" fillId="4" borderId="1" xfId="0" applyFont="1" applyFill="1" applyBorder="1" applyAlignment="1">
      <alignment horizontal="center"/>
    </xf>
    <xf numFmtId="0" fontId="1" fillId="4" borderId="2" xfId="0" applyFont="1" applyFill="1" applyBorder="1" applyAlignment="1">
      <alignment horizontal="center"/>
    </xf>
    <xf numFmtId="0" fontId="1" fillId="4" borderId="3" xfId="0" applyFont="1" applyFill="1" applyBorder="1" applyAlignment="1">
      <alignment horizontal="center"/>
    </xf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4" xfId="0" applyBorder="1" applyAlignment="1">
      <alignment wrapText="1"/>
    </xf>
    <xf numFmtId="0" fontId="0" fillId="0" borderId="7" xfId="0" applyBorder="1" applyAlignment="1">
      <alignment wrapText="1"/>
    </xf>
    <xf numFmtId="0" fontId="0" fillId="0" borderId="5" xfId="0" applyBorder="1" applyAlignment="1">
      <alignment horizontal="center"/>
    </xf>
    <xf numFmtId="0" fontId="0" fillId="0" borderId="8" xfId="0" applyBorder="1" applyAlignment="1">
      <alignment horizontal="center"/>
    </xf>
    <xf numFmtId="9" fontId="0" fillId="0" borderId="6" xfId="0" applyNumberFormat="1" applyBorder="1"/>
    <xf numFmtId="9" fontId="0" fillId="0" borderId="9" xfId="0" applyNumberFormat="1" applyBorder="1"/>
    <xf numFmtId="0" fontId="0" fillId="0" borderId="6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2" xfId="0" applyBorder="1" applyAlignment="1">
      <alignment vertical="top" wrapText="1"/>
    </xf>
    <xf numFmtId="0" fontId="0" fillId="0" borderId="3" xfId="0" applyBorder="1" applyAlignment="1">
      <alignment vertical="top" wrapText="1"/>
    </xf>
    <xf numFmtId="0" fontId="0" fillId="0" borderId="5" xfId="0" applyBorder="1" applyAlignment="1">
      <alignment vertical="top" wrapText="1"/>
    </xf>
    <xf numFmtId="0" fontId="0" fillId="0" borderId="6" xfId="0" applyBorder="1" applyAlignment="1">
      <alignment vertical="top" wrapText="1"/>
    </xf>
    <xf numFmtId="0" fontId="0" fillId="0" borderId="8" xfId="0" applyBorder="1" applyAlignment="1">
      <alignment vertical="top" wrapText="1"/>
    </xf>
    <xf numFmtId="0" fontId="0" fillId="0" borderId="9" xfId="0" applyBorder="1" applyAlignment="1">
      <alignment vertical="top" wrapText="1"/>
    </xf>
    <xf numFmtId="0" fontId="3" fillId="0" borderId="1" xfId="0" applyFont="1" applyBorder="1" applyAlignment="1">
      <alignment horizontal="center" vertical="top" wrapText="1"/>
    </xf>
    <xf numFmtId="0" fontId="3" fillId="0" borderId="4" xfId="0" applyFont="1" applyBorder="1" applyAlignment="1">
      <alignment horizontal="center" vertical="top" wrapText="1"/>
    </xf>
    <xf numFmtId="0" fontId="3" fillId="0" borderId="7" xfId="0" applyFont="1" applyBorder="1" applyAlignment="1">
      <alignment horizontal="center" vertical="top" wrapText="1"/>
    </xf>
    <xf numFmtId="0" fontId="0" fillId="0" borderId="14" xfId="0" applyBorder="1"/>
    <xf numFmtId="0" fontId="0" fillId="0" borderId="15" xfId="0" applyBorder="1"/>
    <xf numFmtId="0" fontId="0" fillId="0" borderId="13" xfId="0" applyBorder="1"/>
    <xf numFmtId="0" fontId="3" fillId="5" borderId="10" xfId="0" applyFont="1" applyFill="1" applyBorder="1" applyAlignment="1">
      <alignment horizontal="center" vertical="center" wrapText="1"/>
    </xf>
    <xf numFmtId="0" fontId="3" fillId="5" borderId="13" xfId="0" applyFont="1" applyFill="1" applyBorder="1" applyAlignment="1">
      <alignment horizontal="center" vertical="center" wrapText="1"/>
    </xf>
    <xf numFmtId="0" fontId="3" fillId="5" borderId="16" xfId="0" applyFont="1" applyFill="1" applyBorder="1" applyAlignment="1">
      <alignment horizontal="center" vertical="center" wrapText="1"/>
    </xf>
    <xf numFmtId="0" fontId="7" fillId="2" borderId="0" xfId="0" applyFont="1" applyFill="1" applyAlignment="1">
      <alignment horizontal="center" vertical="center"/>
    </xf>
    <xf numFmtId="0" fontId="0" fillId="0" borderId="0" xfId="0" applyAlignment="1">
      <alignment vertical="center"/>
    </xf>
    <xf numFmtId="0" fontId="3" fillId="3" borderId="0" xfId="0" applyFont="1" applyFill="1" applyAlignment="1">
      <alignment horizontal="center" vertical="center"/>
    </xf>
    <xf numFmtId="0" fontId="0" fillId="0" borderId="0" xfId="0"/>
    <xf numFmtId="0" fontId="1" fillId="4" borderId="10" xfId="0" applyFont="1" applyFill="1" applyBorder="1" applyAlignment="1">
      <alignment horizontal="center" vertical="center" wrapText="1"/>
    </xf>
    <xf numFmtId="0" fontId="0" fillId="0" borderId="11" xfId="0" applyBorder="1"/>
    <xf numFmtId="0" fontId="9" fillId="5" borderId="13" xfId="0" applyFont="1" applyFill="1" applyBorder="1" applyAlignment="1">
      <alignment horizontal="center" vertical="center"/>
    </xf>
    <xf numFmtId="0" fontId="0" fillId="0" borderId="14" xfId="0" applyBorder="1"/>
    <xf numFmtId="0" fontId="0" fillId="0" borderId="13" xfId="0" applyBorder="1"/>
    <xf numFmtId="0" fontId="1" fillId="4" borderId="11" xfId="0" applyFont="1" applyFill="1" applyBorder="1" applyAlignment="1">
      <alignment horizontal="center" vertical="center" wrapText="1"/>
    </xf>
    <xf numFmtId="0" fontId="9" fillId="5" borderId="14" xfId="0" applyFont="1" applyFill="1" applyBorder="1" applyAlignment="1">
      <alignment horizontal="center" vertical="center"/>
    </xf>
    <xf numFmtId="0" fontId="0" fillId="0" borderId="12" xfId="0" applyBorder="1"/>
    <xf numFmtId="0" fontId="0" fillId="0" borderId="15" xfId="0" applyBorder="1"/>
    <xf numFmtId="0" fontId="1" fillId="4" borderId="13" xfId="0" applyFont="1" applyFill="1" applyBorder="1" applyAlignment="1">
      <alignment horizontal="center" vertical="center" wrapText="1"/>
    </xf>
    <xf numFmtId="0" fontId="0" fillId="0" borderId="16" xfId="0" applyBorder="1"/>
    <xf numFmtId="0" fontId="0" fillId="0" borderId="17" xfId="0" applyBorder="1"/>
    <xf numFmtId="0" fontId="1" fillId="4" borderId="14" xfId="0" applyFont="1" applyFill="1" applyBorder="1" applyAlignment="1">
      <alignment horizontal="center" vertical="center" wrapText="1"/>
    </xf>
    <xf numFmtId="9" fontId="9" fillId="5" borderId="14" xfId="0" applyNumberFormat="1" applyFont="1" applyFill="1" applyBorder="1" applyAlignment="1">
      <alignment horizontal="center" vertical="center"/>
    </xf>
    <xf numFmtId="0" fontId="0" fillId="0" borderId="18" xfId="0" applyBorder="1"/>
    <xf numFmtId="0" fontId="0" fillId="5" borderId="11" xfId="0" applyFill="1" applyBorder="1" applyAlignment="1">
      <alignment vertical="center" wrapText="1"/>
    </xf>
    <xf numFmtId="0" fontId="0" fillId="5" borderId="11" xfId="0" applyFill="1" applyBorder="1" applyAlignment="1">
      <alignment wrapText="1"/>
    </xf>
    <xf numFmtId="0" fontId="0" fillId="5" borderId="12" xfId="0" applyFill="1" applyBorder="1" applyAlignment="1">
      <alignment wrapText="1"/>
    </xf>
    <xf numFmtId="0" fontId="0" fillId="5" borderId="14" xfId="0" applyFill="1" applyBorder="1" applyAlignment="1">
      <alignment vertical="center" wrapText="1"/>
    </xf>
    <xf numFmtId="0" fontId="0" fillId="5" borderId="14" xfId="0" applyFill="1" applyBorder="1" applyAlignment="1">
      <alignment wrapText="1"/>
    </xf>
    <xf numFmtId="0" fontId="0" fillId="5" borderId="15" xfId="0" applyFill="1" applyBorder="1" applyAlignment="1">
      <alignment wrapText="1"/>
    </xf>
    <xf numFmtId="0" fontId="0" fillId="5" borderId="17" xfId="0" applyFill="1" applyBorder="1" applyAlignment="1">
      <alignment vertical="center" wrapText="1"/>
    </xf>
    <xf numFmtId="0" fontId="0" fillId="5" borderId="17" xfId="0" applyFill="1" applyBorder="1" applyAlignment="1">
      <alignment wrapText="1"/>
    </xf>
    <xf numFmtId="0" fontId="0" fillId="5" borderId="18" xfId="0" applyFill="1" applyBorder="1" applyAlignment="1">
      <alignment wrapText="1"/>
    </xf>
    <xf numFmtId="0" fontId="2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/>
    </xf>
    <xf numFmtId="0" fontId="3" fillId="3" borderId="0" xfId="0" applyFont="1" applyFill="1" applyAlignment="1">
      <alignment horizontal="center"/>
    </xf>
    <xf numFmtId="0" fontId="0" fillId="0" borderId="0" xfId="0" applyAlignment="1">
      <alignment vertical="top" wrapText="1"/>
    </xf>
    <xf numFmtId="0" fontId="1" fillId="4" borderId="0" xfId="0" applyFont="1" applyFill="1" applyAlignment="1">
      <alignment horizontal="center"/>
    </xf>
    <xf numFmtId="0" fontId="8" fillId="5" borderId="0" xfId="0" applyFont="1" applyFill="1" applyAlignment="1">
      <alignment horizontal="center" vertical="center" wrapText="1"/>
    </xf>
  </cellXfs>
  <cellStyles count="1">
    <cellStyle name="Normal" xfId="0" builtinId="0"/>
  </cellStyles>
  <dxfs count="11">
    <dxf>
      <font>
        <b/>
        <color rgb="FF9A3412"/>
      </font>
      <fill>
        <patternFill patternType="solid">
          <bgColor rgb="FFFFEDD5"/>
        </patternFill>
      </fill>
    </dxf>
    <dxf>
      <font>
        <b/>
        <color rgb="FF92400E"/>
      </font>
      <fill>
        <patternFill patternType="solid">
          <bgColor rgb="FFFEF3C7"/>
        </patternFill>
      </fill>
    </dxf>
    <dxf>
      <font>
        <b/>
        <color rgb="FF991B1B"/>
      </font>
      <fill>
        <patternFill patternType="solid">
          <bgColor rgb="FFFEE2E2"/>
        </patternFill>
      </fill>
    </dxf>
    <dxf>
      <font>
        <b/>
        <color rgb="FF166534"/>
      </font>
      <fill>
        <patternFill patternType="solid">
          <bgColor rgb="FFDCFCE7"/>
        </patternFill>
      </fill>
    </dxf>
    <dxf>
      <font>
        <b/>
        <color rgb="FF6D28D9"/>
      </font>
      <fill>
        <patternFill patternType="solid">
          <bgColor rgb="FFEDE9FE"/>
        </patternFill>
      </fill>
    </dxf>
    <dxf>
      <font>
        <b/>
        <color rgb="FF991B1B"/>
      </font>
      <fill>
        <patternFill patternType="solid">
          <bgColor rgb="FFFEE2E2"/>
        </patternFill>
      </fill>
    </dxf>
    <dxf>
      <font>
        <b/>
        <color rgb="FF1D4ED8"/>
      </font>
      <fill>
        <patternFill patternType="solid">
          <bgColor rgb="FFDBEAFE"/>
        </patternFill>
      </fill>
    </dxf>
    <dxf>
      <font>
        <b/>
        <color rgb="FF166534"/>
      </font>
      <fill>
        <patternFill patternType="solid">
          <bgColor rgb="FFDCFCE7"/>
        </patternFill>
      </fill>
    </dxf>
    <dxf>
      <font>
        <b/>
        <color rgb="FF166534"/>
      </font>
      <fill>
        <patternFill patternType="solid">
          <bgColor rgb="FFDCFCE7"/>
        </patternFill>
      </fill>
    </dxf>
    <dxf>
      <font>
        <b/>
        <color rgb="FF92400E"/>
      </font>
      <fill>
        <patternFill patternType="solid">
          <bgColor rgb="FFFEF3C7"/>
        </patternFill>
      </fill>
    </dxf>
    <dxf>
      <font>
        <b/>
        <color rgb="FF991B1B"/>
      </font>
      <fill>
        <patternFill patternType="solid">
          <bgColor rgb="FFFEE2E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v>Avance</c:v>
          </c:tx>
          <c:invertIfNegative val="1"/>
          <c:cat>
            <c:strRef>
              <c:f>Dashboard!$A$14:$A$19</c:f>
              <c:strCache>
                <c:ptCount val="6"/>
                <c:pt idx="0">
                  <c:v>Fase 1 - Orden estratégico</c:v>
                </c:pt>
                <c:pt idx="1">
                  <c:v>Fase 2 - Modelo de negocio</c:v>
                </c:pt>
                <c:pt idx="2">
                  <c:v>Fase 3 - Sistema comercial</c:v>
                </c:pt>
                <c:pt idx="3">
                  <c:v>Fase 4 - Sistema operativo</c:v>
                </c:pt>
                <c:pt idx="4">
                  <c:v>Fase 5 - Gestión interna</c:v>
                </c:pt>
                <c:pt idx="5">
                  <c:v>Fase 6 - Plan 30/60/90</c:v>
                </c:pt>
              </c:strCache>
            </c:strRef>
          </c:cat>
          <c:val>
            <c:numRef>
              <c:f>Dashboard!$F$14:$F$19</c:f>
              <c:numCache>
                <c:formatCode>0%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286-4D4D-A2DD-5FBCDB162C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%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v>Cantidad</c:v>
          </c:tx>
          <c:invertIfNegative val="1"/>
          <c:cat>
            <c:strRef>
              <c:f>Dashboard!$H$14:$H$21</c:f>
              <c:strCache>
                <c:ptCount val="8"/>
                <c:pt idx="0">
                  <c:v>Pendiente</c:v>
                </c:pt>
                <c:pt idx="1">
                  <c:v>En análisis</c:v>
                </c:pt>
                <c:pt idx="2">
                  <c:v>En curso</c:v>
                </c:pt>
                <c:pt idx="3">
                  <c:v>En revisión</c:v>
                </c:pt>
                <c:pt idx="4">
                  <c:v>Completado</c:v>
                </c:pt>
                <c:pt idx="5">
                  <c:v>Bloqueado</c:v>
                </c:pt>
                <c:pt idx="6">
                  <c:v>Postergado</c:v>
                </c:pt>
                <c:pt idx="7">
                  <c:v>Cancelado</c:v>
                </c:pt>
              </c:strCache>
            </c:strRef>
          </c:cat>
          <c:val>
            <c:numRef>
              <c:f>Dashboard!$I$14:$I$21</c:f>
              <c:numCache>
                <c:formatCode>General</c:formatCode>
                <c:ptCount val="8"/>
                <c:pt idx="0">
                  <c:v>27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47B-4206-8CDF-F22D277C3C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30</xdr:row>
      <xdr:rowOff>0</xdr:rowOff>
    </xdr:from>
    <xdr:to>
      <xdr:col>12</xdr:col>
      <xdr:colOff>0</xdr:colOff>
      <xdr:row>46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30</xdr:row>
      <xdr:rowOff>0</xdr:rowOff>
    </xdr:from>
    <xdr:to>
      <xdr:col>6</xdr:col>
      <xdr:colOff>0</xdr:colOff>
      <xdr:row>46</xdr:row>
      <xdr:rowOff>0</xdr:rowOff>
    </xdr:to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MatrizControl" displayName="TablaMatrizControl" ref="A4:O104">
  <tableColumns count="15">
    <tableColumn id="1" xr3:uid="{00000000-0010-0000-0000-000001000000}" name="ID"/>
    <tableColumn id="2" xr3:uid="{00000000-0010-0000-0000-000002000000}" name="Fase"/>
    <tableColumn id="3" xr3:uid="{00000000-0010-0000-0000-000003000000}" name="Tipo"/>
    <tableColumn id="4" xr3:uid="{00000000-0010-0000-0000-000004000000}" name="Tarea / Decisión / Entregable"/>
    <tableColumn id="5" xr3:uid="{00000000-0010-0000-0000-000005000000}" name="Resultado esperado"/>
    <tableColumn id="6" xr3:uid="{00000000-0010-0000-0000-000006000000}" name="Responsable"/>
    <tableColumn id="7" xr3:uid="{00000000-0010-0000-0000-000007000000}" name="Prioridad"/>
    <tableColumn id="8" xr3:uid="{00000000-0010-0000-0000-000008000000}" name="Estado"/>
    <tableColumn id="9" xr3:uid="{00000000-0010-0000-0000-000009000000}" name="Fecha inicio"/>
    <tableColumn id="10" xr3:uid="{00000000-0010-0000-0000-00000A000000}" name="Fecha objetivo"/>
    <tableColumn id="11" xr3:uid="{00000000-0010-0000-0000-00000B000000}" name="Fecha cierre"/>
    <tableColumn id="12" xr3:uid="{00000000-0010-0000-0000-00000C000000}" name="% avance"/>
    <tableColumn id="13" xr3:uid="{00000000-0010-0000-0000-00000D000000}" name="Días restantes"/>
    <tableColumn id="14" xr3:uid="{00000000-0010-0000-0000-00000E000000}" name="Semáforo"/>
    <tableColumn id="15" xr3:uid="{00000000-0010-0000-0000-00000F000000}" name="Observaciones / Próximo paso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aReuniones" displayName="TablaReuniones" ref="A3:I103">
  <tableColumns count="9">
    <tableColumn id="1" xr3:uid="{00000000-0010-0000-0100-000001000000}" name="Fecha"/>
    <tableColumn id="2" xr3:uid="{00000000-0010-0000-0100-000002000000}" name="Tipo"/>
    <tableColumn id="3" xr3:uid="{00000000-0010-0000-0100-000003000000}" name="Tema"/>
    <tableColumn id="4" xr3:uid="{00000000-0010-0000-0100-000004000000}" name="Decisión / Acuerdo"/>
    <tableColumn id="5" xr3:uid="{00000000-0010-0000-0100-000005000000}" name="Responsable"/>
    <tableColumn id="6" xr3:uid="{00000000-0010-0000-0100-000006000000}" name="Próximo paso"/>
    <tableColumn id="7" xr3:uid="{00000000-0010-0000-0100-000007000000}" name="Fecha compromiso"/>
    <tableColumn id="8" xr3:uid="{00000000-0010-0000-0100-000008000000}" name="Estado"/>
    <tableColumn id="9" xr3:uid="{00000000-0010-0000-0100-000009000000}" name="Observacion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9"/>
  <sheetViews>
    <sheetView workbookViewId="0">
      <selection sqref="A1:L1"/>
    </sheetView>
  </sheetViews>
  <sheetFormatPr baseColWidth="10" defaultColWidth="8.796875" defaultRowHeight="13.8"/>
  <cols>
    <col min="1" max="1" width="28" customWidth="1"/>
    <col min="2" max="2" width="12" customWidth="1"/>
    <col min="3" max="3" width="14" customWidth="1"/>
    <col min="4" max="4" width="12" customWidth="1"/>
    <col min="5" max="5" width="14" customWidth="1"/>
    <col min="6" max="6" width="12" customWidth="1"/>
    <col min="7" max="7" width="4" customWidth="1"/>
    <col min="8" max="8" width="18" customWidth="1"/>
    <col min="9" max="12" width="12" customWidth="1"/>
  </cols>
  <sheetData>
    <row r="1" spans="1:12" ht="30.45" customHeight="1">
      <c r="A1" s="57" t="s">
        <v>0</v>
      </c>
      <c r="B1" s="58"/>
      <c r="C1" s="58"/>
      <c r="D1" s="58"/>
      <c r="E1" s="58"/>
      <c r="F1" s="58"/>
      <c r="G1" s="58"/>
      <c r="H1" s="58"/>
      <c r="I1" s="58"/>
      <c r="J1" s="58"/>
      <c r="K1" s="58"/>
      <c r="L1" s="58"/>
    </row>
    <row r="2" spans="1:12" ht="19.2" customHeight="1">
      <c r="A2" s="59" t="s">
        <v>1</v>
      </c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</row>
    <row r="4" spans="1:12" ht="17.55" customHeight="1">
      <c r="A4" s="61" t="s">
        <v>2</v>
      </c>
      <c r="B4" s="62"/>
      <c r="C4" s="62"/>
      <c r="D4" s="66" t="s">
        <v>3</v>
      </c>
      <c r="E4" s="62"/>
      <c r="F4" s="62"/>
      <c r="G4" s="66" t="s">
        <v>4</v>
      </c>
      <c r="H4" s="62"/>
      <c r="I4" s="62"/>
      <c r="J4" s="66" t="s">
        <v>5</v>
      </c>
      <c r="K4" s="62"/>
      <c r="L4" s="68"/>
    </row>
    <row r="5" spans="1:12" ht="27.15" customHeight="1">
      <c r="A5" s="63">
        <f>COUNTA(Matriz_Control!D5:D104)</f>
        <v>27</v>
      </c>
      <c r="B5" s="64"/>
      <c r="C5" s="64"/>
      <c r="D5" s="67">
        <f>COUNTIF(Matriz_Control!H5:H104,"Completado")</f>
        <v>0</v>
      </c>
      <c r="E5" s="64"/>
      <c r="F5" s="64"/>
      <c r="G5" s="67">
        <f>COUNTIF(Matriz_Control!H5:H104,"En curso")</f>
        <v>0</v>
      </c>
      <c r="H5" s="64"/>
      <c r="I5" s="64"/>
      <c r="J5" s="67">
        <f>COUNTIF(Matriz_Control!H5:H104,"Pendiente")</f>
        <v>27</v>
      </c>
      <c r="K5" s="64"/>
      <c r="L5" s="69"/>
    </row>
    <row r="6" spans="1:12" ht="27.15" customHeight="1">
      <c r="A6" s="65"/>
      <c r="B6" s="64"/>
      <c r="C6" s="64"/>
      <c r="D6" s="64"/>
      <c r="E6" s="64"/>
      <c r="F6" s="64"/>
      <c r="G6" s="64"/>
      <c r="H6" s="64"/>
      <c r="I6" s="64"/>
      <c r="J6" s="64"/>
      <c r="K6" s="64"/>
      <c r="L6" s="69"/>
    </row>
    <row r="7" spans="1:12">
      <c r="A7" s="53"/>
      <c r="B7" s="51"/>
      <c r="C7" s="51"/>
      <c r="D7" s="51"/>
      <c r="E7" s="51"/>
      <c r="F7" s="51"/>
      <c r="G7" s="51"/>
      <c r="H7" s="51"/>
      <c r="I7" s="51"/>
      <c r="J7" s="51"/>
      <c r="K7" s="51"/>
      <c r="L7" s="52"/>
    </row>
    <row r="8" spans="1:12" ht="17.55" customHeight="1">
      <c r="A8" s="70" t="s">
        <v>6</v>
      </c>
      <c r="B8" s="64"/>
      <c r="C8" s="64"/>
      <c r="D8" s="73" t="s">
        <v>7</v>
      </c>
      <c r="E8" s="64"/>
      <c r="F8" s="64"/>
      <c r="G8" s="73" t="s">
        <v>8</v>
      </c>
      <c r="H8" s="64"/>
      <c r="I8" s="64"/>
      <c r="J8" s="73" t="s">
        <v>9</v>
      </c>
      <c r="K8" s="64"/>
      <c r="L8" s="69"/>
    </row>
    <row r="9" spans="1:12" ht="27.15" customHeight="1">
      <c r="A9" s="63">
        <f>COUNTIF(Matriz_Control!H5:H104,"Bloqueado")</f>
        <v>0</v>
      </c>
      <c r="B9" s="64"/>
      <c r="C9" s="64"/>
      <c r="D9" s="67">
        <f ca="1">COUNTIFS(Matriz_Control!H5:H104,"&lt;&gt;Completado",Matriz_Control!D5:D104,"&lt;&gt;",Matriz_Control!J5:J104,"&lt;"&amp;TODAY())</f>
        <v>0</v>
      </c>
      <c r="E9" s="64"/>
      <c r="F9" s="64"/>
      <c r="G9" s="67">
        <f ca="1">COUNTIFS(Matriz_Control!H5:H104,"&lt;&gt;Completado",Matriz_Control!D5:D104,"&lt;&gt;",Matriz_Control!J5:J104,"&gt;="&amp;TODAY(),Matriz_Control!J5:J104,"&lt;="&amp;TODAY()+7)</f>
        <v>3</v>
      </c>
      <c r="H9" s="64"/>
      <c r="I9" s="64"/>
      <c r="J9" s="74">
        <f>IFERROR(AVERAGEIF(Matriz_Control!D5:D104,"&lt;&gt;",Matriz_Control!L5:L104),0)</f>
        <v>0</v>
      </c>
      <c r="K9" s="64"/>
      <c r="L9" s="69"/>
    </row>
    <row r="10" spans="1:12" ht="27.15" customHeight="1">
      <c r="A10" s="71"/>
      <c r="B10" s="72"/>
      <c r="C10" s="72"/>
      <c r="D10" s="72"/>
      <c r="E10" s="72"/>
      <c r="F10" s="72"/>
      <c r="G10" s="72"/>
      <c r="H10" s="72"/>
      <c r="I10" s="72"/>
      <c r="J10" s="72"/>
      <c r="K10" s="72"/>
      <c r="L10" s="75"/>
    </row>
    <row r="13" spans="1:12">
      <c r="A13" s="25" t="s">
        <v>10</v>
      </c>
      <c r="B13" s="26" t="s">
        <v>11</v>
      </c>
      <c r="C13" s="26" t="s">
        <v>3</v>
      </c>
      <c r="D13" s="26" t="s">
        <v>4</v>
      </c>
      <c r="E13" s="26" t="s">
        <v>7</v>
      </c>
      <c r="F13" s="27" t="s">
        <v>12</v>
      </c>
      <c r="H13" s="25" t="s">
        <v>13</v>
      </c>
      <c r="I13" s="27" t="s">
        <v>14</v>
      </c>
    </row>
    <row r="14" spans="1:12">
      <c r="A14" s="34" t="s">
        <v>15</v>
      </c>
      <c r="B14" s="36">
        <f>COUNTIFS(Matriz_Control!B5:B104,A14,Matriz_Control!D5:D104,"&lt;&gt;")</f>
        <v>4</v>
      </c>
      <c r="C14" s="36">
        <f>COUNTIFS(Matriz_Control!B5:B104,A14,Matriz_Control!H5:H104,"Completado")</f>
        <v>0</v>
      </c>
      <c r="D14" s="36">
        <f>COUNTIFS(Matriz_Control!B5:B104,A14,Matriz_Control!H5:H104,"En curso")</f>
        <v>0</v>
      </c>
      <c r="E14" s="36">
        <f ca="1">COUNTIFS(Matriz_Control!B5:B104,A14,Matriz_Control!H5:H104,"&lt;&gt;Completado",Matriz_Control!J5:J104,"&lt;"&amp;TODAY())</f>
        <v>0</v>
      </c>
      <c r="F14" s="38">
        <f>IFERROR(AVERAGEIFS(Matriz_Control!L5:L104,Matriz_Control!B5:B104,A14,Matriz_Control!D5:D104,"&lt;&gt;"),0)</f>
        <v>0</v>
      </c>
      <c r="H14" s="28" t="s">
        <v>16</v>
      </c>
      <c r="I14" s="40">
        <f>COUNTIF(Matriz_Control!H5:H104,H14)</f>
        <v>27</v>
      </c>
    </row>
    <row r="15" spans="1:12">
      <c r="A15" s="34" t="s">
        <v>17</v>
      </c>
      <c r="B15" s="36">
        <f>COUNTIFS(Matriz_Control!B5:B104,A15,Matriz_Control!D5:D104,"&lt;&gt;")</f>
        <v>5</v>
      </c>
      <c r="C15" s="36">
        <f>COUNTIFS(Matriz_Control!B5:B104,A15,Matriz_Control!H5:H104,"Completado")</f>
        <v>0</v>
      </c>
      <c r="D15" s="36">
        <f>COUNTIFS(Matriz_Control!B5:B104,A15,Matriz_Control!H5:H104,"En curso")</f>
        <v>0</v>
      </c>
      <c r="E15" s="36">
        <f ca="1">COUNTIFS(Matriz_Control!B5:B104,A15,Matriz_Control!H5:H104,"&lt;&gt;Completado",Matriz_Control!J5:J104,"&lt;"&amp;TODAY())</f>
        <v>0</v>
      </c>
      <c r="F15" s="38">
        <f>IFERROR(AVERAGEIFS(Matriz_Control!L5:L104,Matriz_Control!B5:B104,A15,Matriz_Control!D5:D104,"&lt;&gt;"),0)</f>
        <v>0</v>
      </c>
      <c r="H15" s="28" t="s">
        <v>18</v>
      </c>
      <c r="I15" s="40">
        <f>COUNTIF(Matriz_Control!H5:H104,H15)</f>
        <v>0</v>
      </c>
    </row>
    <row r="16" spans="1:12">
      <c r="A16" s="34" t="s">
        <v>19</v>
      </c>
      <c r="B16" s="36">
        <f>COUNTIFS(Matriz_Control!B5:B104,A16,Matriz_Control!D5:D104,"&lt;&gt;")</f>
        <v>5</v>
      </c>
      <c r="C16" s="36">
        <f>COUNTIFS(Matriz_Control!B5:B104,A16,Matriz_Control!H5:H104,"Completado")</f>
        <v>0</v>
      </c>
      <c r="D16" s="36">
        <f>COUNTIFS(Matriz_Control!B5:B104,A16,Matriz_Control!H5:H104,"En curso")</f>
        <v>0</v>
      </c>
      <c r="E16" s="36">
        <f ca="1">COUNTIFS(Matriz_Control!B5:B104,A16,Matriz_Control!H5:H104,"&lt;&gt;Completado",Matriz_Control!J5:J104,"&lt;"&amp;TODAY())</f>
        <v>0</v>
      </c>
      <c r="F16" s="38">
        <f>IFERROR(AVERAGEIFS(Matriz_Control!L5:L104,Matriz_Control!B5:B104,A16,Matriz_Control!D5:D104,"&lt;&gt;"),0)</f>
        <v>0</v>
      </c>
      <c r="H16" s="28" t="s">
        <v>4</v>
      </c>
      <c r="I16" s="40">
        <f>COUNTIF(Matriz_Control!H5:H104,H16)</f>
        <v>0</v>
      </c>
    </row>
    <row r="17" spans="1:12">
      <c r="A17" s="34" t="s">
        <v>20</v>
      </c>
      <c r="B17" s="36">
        <f>COUNTIFS(Matriz_Control!B5:B104,A17,Matriz_Control!D5:D104,"&lt;&gt;")</f>
        <v>5</v>
      </c>
      <c r="C17" s="36">
        <f>COUNTIFS(Matriz_Control!B5:B104,A17,Matriz_Control!H5:H104,"Completado")</f>
        <v>0</v>
      </c>
      <c r="D17" s="36">
        <f>COUNTIFS(Matriz_Control!B5:B104,A17,Matriz_Control!H5:H104,"En curso")</f>
        <v>0</v>
      </c>
      <c r="E17" s="36">
        <f ca="1">COUNTIFS(Matriz_Control!B5:B104,A17,Matriz_Control!H5:H104,"&lt;&gt;Completado",Matriz_Control!J5:J104,"&lt;"&amp;TODAY())</f>
        <v>0</v>
      </c>
      <c r="F17" s="38">
        <f>IFERROR(AVERAGEIFS(Matriz_Control!L5:L104,Matriz_Control!B5:B104,A17,Matriz_Control!D5:D104,"&lt;&gt;"),0)</f>
        <v>0</v>
      </c>
      <c r="H17" s="28" t="s">
        <v>21</v>
      </c>
      <c r="I17" s="40">
        <f>COUNTIF(Matriz_Control!H5:H104,H17)</f>
        <v>0</v>
      </c>
    </row>
    <row r="18" spans="1:12">
      <c r="A18" s="34" t="s">
        <v>22</v>
      </c>
      <c r="B18" s="36">
        <f>COUNTIFS(Matriz_Control!B5:B104,A18,Matriz_Control!D5:D104,"&lt;&gt;")</f>
        <v>4</v>
      </c>
      <c r="C18" s="36">
        <f>COUNTIFS(Matriz_Control!B5:B104,A18,Matriz_Control!H5:H104,"Completado")</f>
        <v>0</v>
      </c>
      <c r="D18" s="36">
        <f>COUNTIFS(Matriz_Control!B5:B104,A18,Matriz_Control!H5:H104,"En curso")</f>
        <v>0</v>
      </c>
      <c r="E18" s="36">
        <f ca="1">COUNTIFS(Matriz_Control!B5:B104,A18,Matriz_Control!H5:H104,"&lt;&gt;Completado",Matriz_Control!J5:J104,"&lt;"&amp;TODAY())</f>
        <v>0</v>
      </c>
      <c r="F18" s="38">
        <f>IFERROR(AVERAGEIFS(Matriz_Control!L5:L104,Matriz_Control!B5:B104,A18,Matriz_Control!D5:D104,"&lt;&gt;"),0)</f>
        <v>0</v>
      </c>
      <c r="H18" s="28" t="s">
        <v>23</v>
      </c>
      <c r="I18" s="40">
        <f>COUNTIF(Matriz_Control!H5:H104,H18)</f>
        <v>0</v>
      </c>
    </row>
    <row r="19" spans="1:12">
      <c r="A19" s="35" t="s">
        <v>24</v>
      </c>
      <c r="B19" s="37">
        <f>COUNTIFS(Matriz_Control!B5:B104,A19,Matriz_Control!D5:D104,"&lt;&gt;")</f>
        <v>4</v>
      </c>
      <c r="C19" s="37">
        <f>COUNTIFS(Matriz_Control!B5:B104,A19,Matriz_Control!H5:H104,"Completado")</f>
        <v>0</v>
      </c>
      <c r="D19" s="37">
        <f>COUNTIFS(Matriz_Control!B5:B104,A19,Matriz_Control!H5:H104,"En curso")</f>
        <v>0</v>
      </c>
      <c r="E19" s="37">
        <f ca="1">COUNTIFS(Matriz_Control!B5:B104,A19,Matriz_Control!H5:H104,"&lt;&gt;Completado",Matriz_Control!J5:J104,"&lt;"&amp;TODAY())</f>
        <v>0</v>
      </c>
      <c r="F19" s="39">
        <f>IFERROR(AVERAGEIFS(Matriz_Control!L5:L104,Matriz_Control!B5:B104,A19,Matriz_Control!D5:D104,"&lt;&gt;"),0)</f>
        <v>0</v>
      </c>
      <c r="H19" s="28" t="s">
        <v>25</v>
      </c>
      <c r="I19" s="40">
        <f>COUNTIF(Matriz_Control!H5:H104,H19)</f>
        <v>0</v>
      </c>
    </row>
    <row r="20" spans="1:12">
      <c r="H20" s="28" t="s">
        <v>26</v>
      </c>
      <c r="I20" s="40">
        <f>COUNTIF(Matriz_Control!H5:H104,H20)</f>
        <v>0</v>
      </c>
    </row>
    <row r="21" spans="1:12">
      <c r="H21" s="31" t="s">
        <v>27</v>
      </c>
      <c r="I21" s="41">
        <f>COUNTIF(Matriz_Control!H5:H104,H21)</f>
        <v>0</v>
      </c>
    </row>
    <row r="23" spans="1:12">
      <c r="A23" s="25" t="s">
        <v>28</v>
      </c>
      <c r="B23" s="26" t="s">
        <v>11</v>
      </c>
      <c r="C23" s="27" t="s">
        <v>7</v>
      </c>
      <c r="E23" s="59" t="s">
        <v>29</v>
      </c>
      <c r="F23" s="60"/>
      <c r="G23" s="60"/>
      <c r="H23" s="60"/>
      <c r="I23" s="60"/>
      <c r="J23" s="60"/>
      <c r="K23" s="60"/>
      <c r="L23" s="60"/>
    </row>
    <row r="24" spans="1:12" ht="17.55" customHeight="1">
      <c r="A24" s="28" t="s">
        <v>30</v>
      </c>
      <c r="B24" s="29">
        <f>COUNTIFS(Matriz_Control!G5:G104,A24,Matriz_Control!D5:D104,"&lt;&gt;")</f>
        <v>18</v>
      </c>
      <c r="C24" s="30">
        <f ca="1">COUNTIFS(Matriz_Control!G5:G104,A24,Matriz_Control!H5:H104,"&lt;&gt;Completado",Matriz_Control!J5:J104,"&lt;"&amp;TODAY())</f>
        <v>0</v>
      </c>
      <c r="E24" s="54">
        <v>1</v>
      </c>
      <c r="F24" s="76" t="s">
        <v>31</v>
      </c>
      <c r="G24" s="77"/>
      <c r="H24" s="77"/>
      <c r="I24" s="77"/>
      <c r="J24" s="77"/>
      <c r="K24" s="77"/>
      <c r="L24" s="78"/>
    </row>
    <row r="25" spans="1:12" ht="17.55" customHeight="1">
      <c r="A25" s="28" t="s">
        <v>32</v>
      </c>
      <c r="B25" s="29">
        <f>COUNTIFS(Matriz_Control!G5:G104,A25,Matriz_Control!D5:D104,"&lt;&gt;")</f>
        <v>9</v>
      </c>
      <c r="C25" s="30">
        <f ca="1">COUNTIFS(Matriz_Control!G5:G104,A25,Matriz_Control!H5:H104,"&lt;&gt;Completado",Matriz_Control!J5:J104,"&lt;"&amp;TODAY())</f>
        <v>0</v>
      </c>
      <c r="E25" s="55">
        <v>2</v>
      </c>
      <c r="F25" s="79" t="s">
        <v>33</v>
      </c>
      <c r="G25" s="80"/>
      <c r="H25" s="80"/>
      <c r="I25" s="80"/>
      <c r="J25" s="80"/>
      <c r="K25" s="80"/>
      <c r="L25" s="81"/>
    </row>
    <row r="26" spans="1:12" ht="17.55" customHeight="1">
      <c r="A26" s="31" t="s">
        <v>34</v>
      </c>
      <c r="B26" s="32">
        <f>COUNTIFS(Matriz_Control!G5:G104,A26,Matriz_Control!D5:D104,"&lt;&gt;")</f>
        <v>0</v>
      </c>
      <c r="C26" s="33">
        <f ca="1">COUNTIFS(Matriz_Control!G5:G104,A26,Matriz_Control!H5:H104,"&lt;&gt;Completado",Matriz_Control!J5:J104,"&lt;"&amp;TODAY())</f>
        <v>0</v>
      </c>
      <c r="E26" s="55">
        <v>3</v>
      </c>
      <c r="F26" s="79" t="s">
        <v>35</v>
      </c>
      <c r="G26" s="80"/>
      <c r="H26" s="80"/>
      <c r="I26" s="80"/>
      <c r="J26" s="80"/>
      <c r="K26" s="80"/>
      <c r="L26" s="81"/>
    </row>
    <row r="27" spans="1:12" ht="17.55" customHeight="1">
      <c r="E27" s="55">
        <v>4</v>
      </c>
      <c r="F27" s="79" t="s">
        <v>36</v>
      </c>
      <c r="G27" s="80"/>
      <c r="H27" s="80"/>
      <c r="I27" s="80"/>
      <c r="J27" s="80"/>
      <c r="K27" s="80"/>
      <c r="L27" s="81"/>
    </row>
    <row r="28" spans="1:12" ht="17.55" customHeight="1">
      <c r="E28" s="55">
        <v>5</v>
      </c>
      <c r="F28" s="79" t="s">
        <v>37</v>
      </c>
      <c r="G28" s="80"/>
      <c r="H28" s="80"/>
      <c r="I28" s="80"/>
      <c r="J28" s="80"/>
      <c r="K28" s="80"/>
      <c r="L28" s="81"/>
    </row>
    <row r="29" spans="1:12" ht="17.55" customHeight="1">
      <c r="E29" s="56">
        <v>6</v>
      </c>
      <c r="F29" s="82" t="s">
        <v>38</v>
      </c>
      <c r="G29" s="83"/>
      <c r="H29" s="83"/>
      <c r="I29" s="83"/>
      <c r="J29" s="83"/>
      <c r="K29" s="83"/>
      <c r="L29" s="84"/>
    </row>
  </sheetData>
  <mergeCells count="25">
    <mergeCell ref="F26:L26"/>
    <mergeCell ref="F27:L27"/>
    <mergeCell ref="F28:L28"/>
    <mergeCell ref="F29:L29"/>
    <mergeCell ref="J8:L8"/>
    <mergeCell ref="J9:L10"/>
    <mergeCell ref="E23:L23"/>
    <mergeCell ref="F24:L24"/>
    <mergeCell ref="F25:L25"/>
    <mergeCell ref="A8:C8"/>
    <mergeCell ref="A9:C10"/>
    <mergeCell ref="D8:F8"/>
    <mergeCell ref="D9:F10"/>
    <mergeCell ref="G8:I8"/>
    <mergeCell ref="G9:I10"/>
    <mergeCell ref="A1:L1"/>
    <mergeCell ref="A2:L2"/>
    <mergeCell ref="A4:C4"/>
    <mergeCell ref="A5:C6"/>
    <mergeCell ref="D4:F4"/>
    <mergeCell ref="D5:F6"/>
    <mergeCell ref="G4:I4"/>
    <mergeCell ref="G5:I6"/>
    <mergeCell ref="J4:L4"/>
    <mergeCell ref="J5:L6"/>
  </mergeCells>
  <conditionalFormatting sqref="F14:F19">
    <cfRule type="dataBar" priority="1">
      <dataBar>
        <cfvo type="min"/>
        <cfvo type="max"/>
        <color rgb="FF22C55E"/>
      </dataBar>
    </cfRule>
    <cfRule type="dataBar" priority="2">
      <dataBar>
        <cfvo type="min"/>
        <cfvo type="max"/>
        <color rgb="FF22C55E"/>
      </dataBar>
      <extLst>
        <ext xmlns:x14="http://schemas.microsoft.com/office/spreadsheetml/2009/9/main" uri="{B025F937-C7B1-47D3-B67F-A62EFF666E3E}">
          <x14:id>{E5D2A047-4238-8741-E2B3-85669B88D1C8}</x14:id>
        </ext>
      </extLst>
    </cfRule>
  </conditionalFormatting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5D2A047-4238-8741-E2B3-85669B88D1C8}">
            <x14:dataBar>
              <x14:cfvo type="min"/>
              <x14:cfvo type="max"/>
              <x14:negativeFillColor auto="1"/>
              <x14:axisColor auto="1"/>
            </x14:dataBar>
          </x14:cfRule>
          <xm:sqref>F14:F19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104"/>
  <sheetViews>
    <sheetView tabSelected="1" workbookViewId="0">
      <selection activeCell="C5" sqref="C5"/>
    </sheetView>
  </sheetViews>
  <sheetFormatPr baseColWidth="10" defaultColWidth="8.796875" defaultRowHeight="13.8"/>
  <cols>
    <col min="1" max="1" width="7" customWidth="1"/>
    <col min="2" max="2" width="28" customWidth="1"/>
    <col min="3" max="3" width="14" customWidth="1"/>
    <col min="4" max="4" width="38" customWidth="1"/>
    <col min="5" max="5" width="34" customWidth="1"/>
    <col min="6" max="6" width="18" customWidth="1"/>
    <col min="7" max="7" width="12" customWidth="1"/>
    <col min="8" max="8" width="15" customWidth="1"/>
    <col min="9" max="11" width="13" customWidth="1"/>
    <col min="12" max="12" width="11" customWidth="1"/>
    <col min="13" max="13" width="12" customWidth="1"/>
    <col min="14" max="14" width="13" customWidth="1"/>
    <col min="15" max="15" width="42" customWidth="1"/>
  </cols>
  <sheetData>
    <row r="1" spans="1:15" ht="27.15" customHeight="1">
      <c r="A1" s="85" t="s">
        <v>39</v>
      </c>
      <c r="B1" s="60"/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  <c r="N1" s="60"/>
      <c r="O1" s="60"/>
    </row>
    <row r="2" spans="1:15" ht="19.2" customHeight="1">
      <c r="A2" s="59" t="s">
        <v>40</v>
      </c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</row>
    <row r="4" spans="1:15" ht="27.15" customHeight="1">
      <c r="A4" s="2" t="s">
        <v>41</v>
      </c>
      <c r="B4" s="3" t="s">
        <v>10</v>
      </c>
      <c r="C4" s="3" t="s">
        <v>42</v>
      </c>
      <c r="D4" s="3" t="s">
        <v>43</v>
      </c>
      <c r="E4" s="3" t="s">
        <v>44</v>
      </c>
      <c r="F4" s="3" t="s">
        <v>45</v>
      </c>
      <c r="G4" s="3" t="s">
        <v>28</v>
      </c>
      <c r="H4" s="3" t="s">
        <v>13</v>
      </c>
      <c r="I4" s="3" t="s">
        <v>46</v>
      </c>
      <c r="J4" s="3" t="s">
        <v>47</v>
      </c>
      <c r="K4" s="3" t="s">
        <v>48</v>
      </c>
      <c r="L4" s="3" t="s">
        <v>49</v>
      </c>
      <c r="M4" s="3" t="s">
        <v>50</v>
      </c>
      <c r="N4" s="3" t="s">
        <v>51</v>
      </c>
      <c r="O4" s="4" t="s">
        <v>52</v>
      </c>
    </row>
    <row r="5" spans="1:15">
      <c r="A5" s="9">
        <v>1</v>
      </c>
      <c r="B5" s="5" t="s">
        <v>15</v>
      </c>
      <c r="C5" s="5" t="s">
        <v>53</v>
      </c>
      <c r="D5" s="5" t="s">
        <v>54</v>
      </c>
      <c r="E5" s="5" t="s">
        <v>55</v>
      </c>
      <c r="F5" s="5" t="s">
        <v>56</v>
      </c>
      <c r="G5" s="11" t="s">
        <v>30</v>
      </c>
      <c r="H5" s="11" t="s">
        <v>16</v>
      </c>
      <c r="I5" s="12">
        <v>46168</v>
      </c>
      <c r="J5" s="12">
        <v>46170</v>
      </c>
      <c r="K5" s="12"/>
      <c r="L5" s="13">
        <v>0</v>
      </c>
      <c r="M5" s="11">
        <f t="shared" ref="M5:M36" ca="1" si="0">IF(D5="","",IF(H5="Completado",0,I5-TODAY()))</f>
        <v>1</v>
      </c>
      <c r="N5" s="11" t="str">
        <f t="shared" ref="N5:N36" ca="1" si="1">IF(D5="","",IF(H5="Completado","OK",IF(H5="Bloqueado","Bloqueado",IF(I5&lt;TODAY(),"Vencido",IF(I5-TODAY()&lt;=7,"Próximo","En fecha")))))</f>
        <v>Próximo</v>
      </c>
      <c r="O5" s="6" t="s">
        <v>57</v>
      </c>
    </row>
    <row r="6" spans="1:15" ht="26.4">
      <c r="A6" s="9">
        <v>2</v>
      </c>
      <c r="B6" s="5" t="s">
        <v>15</v>
      </c>
      <c r="C6" s="5" t="s">
        <v>58</v>
      </c>
      <c r="D6" s="5" t="s">
        <v>59</v>
      </c>
      <c r="E6" s="5" t="s">
        <v>60</v>
      </c>
      <c r="F6" s="5" t="s">
        <v>61</v>
      </c>
      <c r="G6" s="11" t="s">
        <v>30</v>
      </c>
      <c r="H6" s="11" t="s">
        <v>16</v>
      </c>
      <c r="I6" s="12">
        <v>46168</v>
      </c>
      <c r="J6" s="12">
        <v>46172</v>
      </c>
      <c r="K6" s="12"/>
      <c r="L6" s="13">
        <v>0</v>
      </c>
      <c r="M6" s="11">
        <f t="shared" ca="1" si="0"/>
        <v>1</v>
      </c>
      <c r="N6" s="11" t="str">
        <f t="shared" ca="1" si="1"/>
        <v>Próximo</v>
      </c>
      <c r="O6" s="6"/>
    </row>
    <row r="7" spans="1:15">
      <c r="A7" s="9">
        <v>3</v>
      </c>
      <c r="B7" s="5" t="s">
        <v>15</v>
      </c>
      <c r="C7" s="5" t="s">
        <v>62</v>
      </c>
      <c r="D7" s="5" t="s">
        <v>63</v>
      </c>
      <c r="E7" s="5" t="s">
        <v>64</v>
      </c>
      <c r="F7" s="5" t="s">
        <v>56</v>
      </c>
      <c r="G7" s="11" t="s">
        <v>30</v>
      </c>
      <c r="H7" s="11" t="s">
        <v>16</v>
      </c>
      <c r="I7" s="12">
        <v>46171</v>
      </c>
      <c r="J7" s="12">
        <v>46175</v>
      </c>
      <c r="K7" s="12"/>
      <c r="L7" s="13">
        <v>0</v>
      </c>
      <c r="M7" s="11">
        <f t="shared" ca="1" si="0"/>
        <v>4</v>
      </c>
      <c r="N7" s="11" t="str">
        <f t="shared" ca="1" si="1"/>
        <v>Próximo</v>
      </c>
      <c r="O7" s="6"/>
    </row>
    <row r="8" spans="1:15">
      <c r="A8" s="9">
        <v>4</v>
      </c>
      <c r="B8" s="5" t="s">
        <v>15</v>
      </c>
      <c r="C8" s="5" t="s">
        <v>62</v>
      </c>
      <c r="D8" s="5" t="s">
        <v>65</v>
      </c>
      <c r="E8" s="5" t="s">
        <v>66</v>
      </c>
      <c r="F8" s="5" t="s">
        <v>56</v>
      </c>
      <c r="G8" s="11" t="s">
        <v>30</v>
      </c>
      <c r="H8" s="11" t="s">
        <v>16</v>
      </c>
      <c r="I8" s="12">
        <v>46173</v>
      </c>
      <c r="J8" s="12">
        <v>46178</v>
      </c>
      <c r="K8" s="12"/>
      <c r="L8" s="13">
        <v>0</v>
      </c>
      <c r="M8" s="11">
        <f t="shared" ca="1" si="0"/>
        <v>6</v>
      </c>
      <c r="N8" s="11" t="str">
        <f t="shared" ca="1" si="1"/>
        <v>Próximo</v>
      </c>
      <c r="O8" s="6"/>
    </row>
    <row r="9" spans="1:15" ht="26.4">
      <c r="A9" s="9">
        <v>5</v>
      </c>
      <c r="B9" s="5" t="s">
        <v>17</v>
      </c>
      <c r="C9" s="5" t="s">
        <v>58</v>
      </c>
      <c r="D9" s="5" t="s">
        <v>67</v>
      </c>
      <c r="E9" s="5" t="s">
        <v>68</v>
      </c>
      <c r="F9" s="5" t="s">
        <v>61</v>
      </c>
      <c r="G9" s="11" t="s">
        <v>30</v>
      </c>
      <c r="H9" s="11" t="s">
        <v>16</v>
      </c>
      <c r="I9" s="12">
        <v>46175</v>
      </c>
      <c r="J9" s="12">
        <v>46180</v>
      </c>
      <c r="K9" s="12"/>
      <c r="L9" s="13">
        <v>0</v>
      </c>
      <c r="M9" s="11">
        <f t="shared" ca="1" si="0"/>
        <v>8</v>
      </c>
      <c r="N9" s="11" t="str">
        <f t="shared" ca="1" si="1"/>
        <v>En fecha</v>
      </c>
      <c r="O9" s="6"/>
    </row>
    <row r="10" spans="1:15">
      <c r="A10" s="9">
        <v>6</v>
      </c>
      <c r="B10" s="5" t="s">
        <v>17</v>
      </c>
      <c r="C10" s="5" t="s">
        <v>62</v>
      </c>
      <c r="D10" s="5" t="s">
        <v>69</v>
      </c>
      <c r="E10" s="5" t="s">
        <v>70</v>
      </c>
      <c r="F10" s="5" t="s">
        <v>56</v>
      </c>
      <c r="G10" s="11" t="s">
        <v>30</v>
      </c>
      <c r="H10" s="11" t="s">
        <v>16</v>
      </c>
      <c r="I10" s="12">
        <v>46176</v>
      </c>
      <c r="J10" s="12">
        <v>46182</v>
      </c>
      <c r="K10" s="12"/>
      <c r="L10" s="13">
        <v>0</v>
      </c>
      <c r="M10" s="11">
        <f t="shared" ca="1" si="0"/>
        <v>9</v>
      </c>
      <c r="N10" s="11" t="str">
        <f t="shared" ca="1" si="1"/>
        <v>En fecha</v>
      </c>
      <c r="O10" s="6"/>
    </row>
    <row r="11" spans="1:15">
      <c r="A11" s="9">
        <v>7</v>
      </c>
      <c r="B11" s="5" t="s">
        <v>17</v>
      </c>
      <c r="C11" s="5" t="s">
        <v>58</v>
      </c>
      <c r="D11" s="5" t="s">
        <v>71</v>
      </c>
      <c r="E11" s="5" t="s">
        <v>72</v>
      </c>
      <c r="F11" s="5" t="s">
        <v>61</v>
      </c>
      <c r="G11" s="11" t="s">
        <v>30</v>
      </c>
      <c r="H11" s="11" t="s">
        <v>16</v>
      </c>
      <c r="I11" s="12">
        <v>46178</v>
      </c>
      <c r="J11" s="12">
        <v>46184</v>
      </c>
      <c r="K11" s="12"/>
      <c r="L11" s="13">
        <v>0</v>
      </c>
      <c r="M11" s="11">
        <f t="shared" ca="1" si="0"/>
        <v>11</v>
      </c>
      <c r="N11" s="11" t="str">
        <f t="shared" ca="1" si="1"/>
        <v>En fecha</v>
      </c>
      <c r="O11" s="6"/>
    </row>
    <row r="12" spans="1:15" ht="26.4">
      <c r="A12" s="9">
        <v>8</v>
      </c>
      <c r="B12" s="5" t="s">
        <v>17</v>
      </c>
      <c r="C12" s="5" t="s">
        <v>62</v>
      </c>
      <c r="D12" s="5" t="s">
        <v>73</v>
      </c>
      <c r="E12" s="5" t="s">
        <v>74</v>
      </c>
      <c r="F12" s="5" t="s">
        <v>56</v>
      </c>
      <c r="G12" s="11" t="s">
        <v>32</v>
      </c>
      <c r="H12" s="11" t="s">
        <v>16</v>
      </c>
      <c r="I12" s="12">
        <v>46180</v>
      </c>
      <c r="J12" s="12">
        <v>46187</v>
      </c>
      <c r="K12" s="12"/>
      <c r="L12" s="13">
        <v>0</v>
      </c>
      <c r="M12" s="11">
        <f t="shared" ca="1" si="0"/>
        <v>13</v>
      </c>
      <c r="N12" s="11" t="str">
        <f t="shared" ca="1" si="1"/>
        <v>En fecha</v>
      </c>
      <c r="O12" s="6"/>
    </row>
    <row r="13" spans="1:15">
      <c r="A13" s="9">
        <v>9</v>
      </c>
      <c r="B13" s="5" t="s">
        <v>17</v>
      </c>
      <c r="C13" s="5" t="s">
        <v>75</v>
      </c>
      <c r="D13" s="5" t="s">
        <v>76</v>
      </c>
      <c r="E13" s="5" t="s">
        <v>77</v>
      </c>
      <c r="F13" s="5" t="s">
        <v>61</v>
      </c>
      <c r="G13" s="11" t="s">
        <v>32</v>
      </c>
      <c r="H13" s="11" t="s">
        <v>16</v>
      </c>
      <c r="I13" s="12">
        <v>46181</v>
      </c>
      <c r="J13" s="12">
        <v>46188</v>
      </c>
      <c r="K13" s="12"/>
      <c r="L13" s="13">
        <v>0</v>
      </c>
      <c r="M13" s="11">
        <f t="shared" ca="1" si="0"/>
        <v>14</v>
      </c>
      <c r="N13" s="11" t="str">
        <f t="shared" ca="1" si="1"/>
        <v>En fecha</v>
      </c>
      <c r="O13" s="6"/>
    </row>
    <row r="14" spans="1:15">
      <c r="A14" s="9">
        <v>10</v>
      </c>
      <c r="B14" s="5" t="s">
        <v>19</v>
      </c>
      <c r="C14" s="5" t="s">
        <v>78</v>
      </c>
      <c r="D14" s="5" t="s">
        <v>79</v>
      </c>
      <c r="E14" s="5" t="s">
        <v>80</v>
      </c>
      <c r="F14" s="5" t="s">
        <v>61</v>
      </c>
      <c r="G14" s="11" t="s">
        <v>30</v>
      </c>
      <c r="H14" s="11" t="s">
        <v>16</v>
      </c>
      <c r="I14" s="12">
        <v>46183</v>
      </c>
      <c r="J14" s="12">
        <v>46190</v>
      </c>
      <c r="K14" s="12"/>
      <c r="L14" s="13">
        <v>0</v>
      </c>
      <c r="M14" s="11">
        <f t="shared" ca="1" si="0"/>
        <v>16</v>
      </c>
      <c r="N14" s="11" t="str">
        <f t="shared" ca="1" si="1"/>
        <v>En fecha</v>
      </c>
      <c r="O14" s="6"/>
    </row>
    <row r="15" spans="1:15" ht="26.4">
      <c r="A15" s="9">
        <v>11</v>
      </c>
      <c r="B15" s="5" t="s">
        <v>19</v>
      </c>
      <c r="C15" s="5" t="s">
        <v>81</v>
      </c>
      <c r="D15" s="5" t="s">
        <v>82</v>
      </c>
      <c r="E15" s="5" t="s">
        <v>83</v>
      </c>
      <c r="F15" s="5" t="s">
        <v>61</v>
      </c>
      <c r="G15" s="11" t="s">
        <v>30</v>
      </c>
      <c r="H15" s="11" t="s">
        <v>16</v>
      </c>
      <c r="I15" s="12">
        <v>46184</v>
      </c>
      <c r="J15" s="12">
        <v>46192</v>
      </c>
      <c r="K15" s="12"/>
      <c r="L15" s="13">
        <v>0</v>
      </c>
      <c r="M15" s="11">
        <f t="shared" ca="1" si="0"/>
        <v>17</v>
      </c>
      <c r="N15" s="11" t="str">
        <f t="shared" ca="1" si="1"/>
        <v>En fecha</v>
      </c>
      <c r="O15" s="6"/>
    </row>
    <row r="16" spans="1:15" ht="26.4">
      <c r="A16" s="9">
        <v>12</v>
      </c>
      <c r="B16" s="5" t="s">
        <v>19</v>
      </c>
      <c r="C16" s="5" t="s">
        <v>84</v>
      </c>
      <c r="D16" s="5" t="s">
        <v>85</v>
      </c>
      <c r="E16" s="5" t="s">
        <v>86</v>
      </c>
      <c r="F16" s="5" t="s">
        <v>61</v>
      </c>
      <c r="G16" s="11" t="s">
        <v>30</v>
      </c>
      <c r="H16" s="11" t="s">
        <v>16</v>
      </c>
      <c r="I16" s="12">
        <v>46185</v>
      </c>
      <c r="J16" s="12">
        <v>46193</v>
      </c>
      <c r="K16" s="12"/>
      <c r="L16" s="13">
        <v>0</v>
      </c>
      <c r="M16" s="11">
        <f t="shared" ca="1" si="0"/>
        <v>18</v>
      </c>
      <c r="N16" s="11" t="str">
        <f t="shared" ca="1" si="1"/>
        <v>En fecha</v>
      </c>
      <c r="O16" s="6"/>
    </row>
    <row r="17" spans="1:15" ht="26.4">
      <c r="A17" s="9">
        <v>13</v>
      </c>
      <c r="B17" s="5" t="s">
        <v>19</v>
      </c>
      <c r="C17" s="5" t="s">
        <v>81</v>
      </c>
      <c r="D17" s="5" t="s">
        <v>87</v>
      </c>
      <c r="E17" s="5" t="s">
        <v>88</v>
      </c>
      <c r="F17" s="5" t="s">
        <v>61</v>
      </c>
      <c r="G17" s="11" t="s">
        <v>30</v>
      </c>
      <c r="H17" s="11" t="s">
        <v>16</v>
      </c>
      <c r="I17" s="12">
        <v>46186</v>
      </c>
      <c r="J17" s="12">
        <v>46196</v>
      </c>
      <c r="K17" s="12"/>
      <c r="L17" s="13">
        <v>0</v>
      </c>
      <c r="M17" s="11">
        <f t="shared" ca="1" si="0"/>
        <v>19</v>
      </c>
      <c r="N17" s="11" t="str">
        <f t="shared" ca="1" si="1"/>
        <v>En fecha</v>
      </c>
      <c r="O17" s="6"/>
    </row>
    <row r="18" spans="1:15" ht="26.4">
      <c r="A18" s="9">
        <v>14</v>
      </c>
      <c r="B18" s="5" t="s">
        <v>19</v>
      </c>
      <c r="C18" s="5" t="s">
        <v>78</v>
      </c>
      <c r="D18" s="5" t="s">
        <v>89</v>
      </c>
      <c r="E18" s="5" t="s">
        <v>90</v>
      </c>
      <c r="F18" s="5" t="s">
        <v>61</v>
      </c>
      <c r="G18" s="11" t="s">
        <v>32</v>
      </c>
      <c r="H18" s="11" t="s">
        <v>16</v>
      </c>
      <c r="I18" s="12">
        <v>46188</v>
      </c>
      <c r="J18" s="12">
        <v>46198</v>
      </c>
      <c r="K18" s="12"/>
      <c r="L18" s="13">
        <v>0</v>
      </c>
      <c r="M18" s="11">
        <f t="shared" ca="1" si="0"/>
        <v>21</v>
      </c>
      <c r="N18" s="11" t="str">
        <f t="shared" ca="1" si="1"/>
        <v>En fecha</v>
      </c>
      <c r="O18" s="6"/>
    </row>
    <row r="19" spans="1:15" ht="26.4">
      <c r="A19" s="9">
        <v>15</v>
      </c>
      <c r="B19" s="5" t="s">
        <v>20</v>
      </c>
      <c r="C19" s="5" t="s">
        <v>78</v>
      </c>
      <c r="D19" s="5" t="s">
        <v>91</v>
      </c>
      <c r="E19" s="5" t="s">
        <v>92</v>
      </c>
      <c r="F19" s="5" t="s">
        <v>56</v>
      </c>
      <c r="G19" s="11" t="s">
        <v>30</v>
      </c>
      <c r="H19" s="11" t="s">
        <v>16</v>
      </c>
      <c r="I19" s="12">
        <v>46190</v>
      </c>
      <c r="J19" s="12">
        <v>46200</v>
      </c>
      <c r="K19" s="12"/>
      <c r="L19" s="13">
        <v>0</v>
      </c>
      <c r="M19" s="11">
        <f t="shared" ca="1" si="0"/>
        <v>23</v>
      </c>
      <c r="N19" s="11" t="str">
        <f t="shared" ca="1" si="1"/>
        <v>En fecha</v>
      </c>
      <c r="O19" s="6"/>
    </row>
    <row r="20" spans="1:15" ht="26.4">
      <c r="A20" s="9">
        <v>16</v>
      </c>
      <c r="B20" s="5" t="s">
        <v>20</v>
      </c>
      <c r="C20" s="5" t="s">
        <v>93</v>
      </c>
      <c r="D20" s="5" t="s">
        <v>94</v>
      </c>
      <c r="E20" s="5" t="s">
        <v>95</v>
      </c>
      <c r="F20" s="5" t="s">
        <v>61</v>
      </c>
      <c r="G20" s="11" t="s">
        <v>30</v>
      </c>
      <c r="H20" s="11" t="s">
        <v>16</v>
      </c>
      <c r="I20" s="12">
        <v>46192</v>
      </c>
      <c r="J20" s="12">
        <v>46203</v>
      </c>
      <c r="K20" s="12"/>
      <c r="L20" s="13">
        <v>0</v>
      </c>
      <c r="M20" s="11">
        <f t="shared" ca="1" si="0"/>
        <v>25</v>
      </c>
      <c r="N20" s="11" t="str">
        <f t="shared" ca="1" si="1"/>
        <v>En fecha</v>
      </c>
      <c r="O20" s="6"/>
    </row>
    <row r="21" spans="1:15">
      <c r="A21" s="9">
        <v>17</v>
      </c>
      <c r="B21" s="5" t="s">
        <v>20</v>
      </c>
      <c r="C21" s="5" t="s">
        <v>96</v>
      </c>
      <c r="D21" s="5" t="s">
        <v>97</v>
      </c>
      <c r="E21" s="5" t="s">
        <v>98</v>
      </c>
      <c r="F21" s="5" t="s">
        <v>56</v>
      </c>
      <c r="G21" s="11" t="s">
        <v>30</v>
      </c>
      <c r="H21" s="11" t="s">
        <v>16</v>
      </c>
      <c r="I21" s="12">
        <v>46194</v>
      </c>
      <c r="J21" s="12">
        <v>46206</v>
      </c>
      <c r="K21" s="12"/>
      <c r="L21" s="13">
        <v>0</v>
      </c>
      <c r="M21" s="11">
        <f t="shared" ca="1" si="0"/>
        <v>27</v>
      </c>
      <c r="N21" s="11" t="str">
        <f t="shared" ca="1" si="1"/>
        <v>En fecha</v>
      </c>
      <c r="O21" s="6"/>
    </row>
    <row r="22" spans="1:15">
      <c r="A22" s="9">
        <v>18</v>
      </c>
      <c r="B22" s="5" t="s">
        <v>20</v>
      </c>
      <c r="C22" s="5" t="s">
        <v>81</v>
      </c>
      <c r="D22" s="5" t="s">
        <v>99</v>
      </c>
      <c r="E22" s="5" t="s">
        <v>100</v>
      </c>
      <c r="F22" s="5" t="s">
        <v>61</v>
      </c>
      <c r="G22" s="11" t="s">
        <v>32</v>
      </c>
      <c r="H22" s="11" t="s">
        <v>16</v>
      </c>
      <c r="I22" s="12">
        <v>46196</v>
      </c>
      <c r="J22" s="12">
        <v>46210</v>
      </c>
      <c r="K22" s="12"/>
      <c r="L22" s="13">
        <v>0</v>
      </c>
      <c r="M22" s="11">
        <f t="shared" ca="1" si="0"/>
        <v>29</v>
      </c>
      <c r="N22" s="11" t="str">
        <f t="shared" ca="1" si="1"/>
        <v>En fecha</v>
      </c>
      <c r="O22" s="6"/>
    </row>
    <row r="23" spans="1:15">
      <c r="A23" s="9">
        <v>19</v>
      </c>
      <c r="B23" s="5" t="s">
        <v>20</v>
      </c>
      <c r="C23" s="5" t="s">
        <v>101</v>
      </c>
      <c r="D23" s="5" t="s">
        <v>102</v>
      </c>
      <c r="E23" s="5" t="s">
        <v>103</v>
      </c>
      <c r="F23" s="5" t="s">
        <v>56</v>
      </c>
      <c r="G23" s="11" t="s">
        <v>30</v>
      </c>
      <c r="H23" s="11" t="s">
        <v>16</v>
      </c>
      <c r="I23" s="12">
        <v>46198</v>
      </c>
      <c r="J23" s="12">
        <v>46213</v>
      </c>
      <c r="K23" s="12"/>
      <c r="L23" s="13">
        <v>0</v>
      </c>
      <c r="M23" s="11">
        <f t="shared" ca="1" si="0"/>
        <v>31</v>
      </c>
      <c r="N23" s="11" t="str">
        <f t="shared" ca="1" si="1"/>
        <v>En fecha</v>
      </c>
      <c r="O23" s="6"/>
    </row>
    <row r="24" spans="1:15">
      <c r="A24" s="9">
        <v>20</v>
      </c>
      <c r="B24" s="5" t="s">
        <v>22</v>
      </c>
      <c r="C24" s="5" t="s">
        <v>58</v>
      </c>
      <c r="D24" s="5" t="s">
        <v>104</v>
      </c>
      <c r="E24" s="5" t="s">
        <v>105</v>
      </c>
      <c r="F24" s="5" t="s">
        <v>56</v>
      </c>
      <c r="G24" s="11" t="s">
        <v>30</v>
      </c>
      <c r="H24" s="11" t="s">
        <v>16</v>
      </c>
      <c r="I24" s="12">
        <v>46171</v>
      </c>
      <c r="J24" s="12">
        <v>46176</v>
      </c>
      <c r="K24" s="12"/>
      <c r="L24" s="13">
        <v>0</v>
      </c>
      <c r="M24" s="11">
        <f t="shared" ca="1" si="0"/>
        <v>4</v>
      </c>
      <c r="N24" s="11" t="str">
        <f t="shared" ca="1" si="1"/>
        <v>Próximo</v>
      </c>
      <c r="O24" s="6"/>
    </row>
    <row r="25" spans="1:15">
      <c r="A25" s="9">
        <v>21</v>
      </c>
      <c r="B25" s="5" t="s">
        <v>22</v>
      </c>
      <c r="C25" s="5" t="s">
        <v>106</v>
      </c>
      <c r="D25" s="5" t="s">
        <v>107</v>
      </c>
      <c r="E25" s="5" t="s">
        <v>108</v>
      </c>
      <c r="F25" s="5" t="s">
        <v>61</v>
      </c>
      <c r="G25" s="11" t="s">
        <v>30</v>
      </c>
      <c r="H25" s="11" t="s">
        <v>16</v>
      </c>
      <c r="I25" s="12">
        <v>46169</v>
      </c>
      <c r="J25" s="12">
        <v>46173</v>
      </c>
      <c r="K25" s="12"/>
      <c r="L25" s="13">
        <v>0</v>
      </c>
      <c r="M25" s="11">
        <f t="shared" ca="1" si="0"/>
        <v>2</v>
      </c>
      <c r="N25" s="11" t="str">
        <f t="shared" ca="1" si="1"/>
        <v>Próximo</v>
      </c>
      <c r="O25" s="6" t="s">
        <v>109</v>
      </c>
    </row>
    <row r="26" spans="1:15" ht="26.4">
      <c r="A26" s="9">
        <v>22</v>
      </c>
      <c r="B26" s="5" t="s">
        <v>22</v>
      </c>
      <c r="C26" s="5" t="s">
        <v>110</v>
      </c>
      <c r="D26" s="5" t="s">
        <v>111</v>
      </c>
      <c r="E26" s="5" t="s">
        <v>112</v>
      </c>
      <c r="F26" s="5" t="s">
        <v>61</v>
      </c>
      <c r="G26" s="11" t="s">
        <v>32</v>
      </c>
      <c r="H26" s="11" t="s">
        <v>16</v>
      </c>
      <c r="I26" s="12">
        <v>46173</v>
      </c>
      <c r="J26" s="12">
        <v>46178</v>
      </c>
      <c r="K26" s="12"/>
      <c r="L26" s="13">
        <v>0</v>
      </c>
      <c r="M26" s="11">
        <f t="shared" ca="1" si="0"/>
        <v>6</v>
      </c>
      <c r="N26" s="11" t="str">
        <f t="shared" ca="1" si="1"/>
        <v>Próximo</v>
      </c>
      <c r="O26" s="6"/>
    </row>
    <row r="27" spans="1:15">
      <c r="A27" s="9">
        <v>23</v>
      </c>
      <c r="B27" s="5" t="s">
        <v>22</v>
      </c>
      <c r="C27" s="5" t="s">
        <v>113</v>
      </c>
      <c r="D27" s="5" t="s">
        <v>114</v>
      </c>
      <c r="E27" s="5" t="s">
        <v>115</v>
      </c>
      <c r="F27" s="5" t="s">
        <v>61</v>
      </c>
      <c r="G27" s="11" t="s">
        <v>32</v>
      </c>
      <c r="H27" s="11" t="s">
        <v>16</v>
      </c>
      <c r="I27" s="12">
        <v>46178</v>
      </c>
      <c r="J27" s="12">
        <v>46186</v>
      </c>
      <c r="K27" s="12"/>
      <c r="L27" s="13">
        <v>0</v>
      </c>
      <c r="M27" s="11">
        <f t="shared" ca="1" si="0"/>
        <v>11</v>
      </c>
      <c r="N27" s="11" t="str">
        <f t="shared" ca="1" si="1"/>
        <v>En fecha</v>
      </c>
      <c r="O27" s="6"/>
    </row>
    <row r="28" spans="1:15">
      <c r="A28" s="9">
        <v>24</v>
      </c>
      <c r="B28" s="5" t="s">
        <v>24</v>
      </c>
      <c r="C28" s="5" t="s">
        <v>116</v>
      </c>
      <c r="D28" s="5" t="s">
        <v>117</v>
      </c>
      <c r="E28" s="5" t="s">
        <v>118</v>
      </c>
      <c r="F28" s="5" t="s">
        <v>61</v>
      </c>
      <c r="G28" s="11" t="s">
        <v>30</v>
      </c>
      <c r="H28" s="11" t="s">
        <v>16</v>
      </c>
      <c r="I28" s="12">
        <v>46173</v>
      </c>
      <c r="J28" s="12">
        <v>46180</v>
      </c>
      <c r="K28" s="12"/>
      <c r="L28" s="13">
        <v>0</v>
      </c>
      <c r="M28" s="11">
        <f t="shared" ca="1" si="0"/>
        <v>6</v>
      </c>
      <c r="N28" s="11" t="str">
        <f t="shared" ca="1" si="1"/>
        <v>Próximo</v>
      </c>
      <c r="O28" s="6"/>
    </row>
    <row r="29" spans="1:15">
      <c r="A29" s="9">
        <v>25</v>
      </c>
      <c r="B29" s="5" t="s">
        <v>24</v>
      </c>
      <c r="C29" s="5" t="s">
        <v>116</v>
      </c>
      <c r="D29" s="5" t="s">
        <v>119</v>
      </c>
      <c r="E29" s="5" t="s">
        <v>120</v>
      </c>
      <c r="F29" s="5" t="s">
        <v>61</v>
      </c>
      <c r="G29" s="11" t="s">
        <v>32</v>
      </c>
      <c r="H29" s="11" t="s">
        <v>16</v>
      </c>
      <c r="I29" s="12">
        <v>46183</v>
      </c>
      <c r="J29" s="12">
        <v>46198</v>
      </c>
      <c r="K29" s="12"/>
      <c r="L29" s="13">
        <v>0</v>
      </c>
      <c r="M29" s="11">
        <f t="shared" ca="1" si="0"/>
        <v>16</v>
      </c>
      <c r="N29" s="11" t="str">
        <f t="shared" ca="1" si="1"/>
        <v>En fecha</v>
      </c>
      <c r="O29" s="6"/>
    </row>
    <row r="30" spans="1:15">
      <c r="A30" s="9">
        <v>26</v>
      </c>
      <c r="B30" s="5" t="s">
        <v>24</v>
      </c>
      <c r="C30" s="5" t="s">
        <v>116</v>
      </c>
      <c r="D30" s="5" t="s">
        <v>121</v>
      </c>
      <c r="E30" s="5" t="s">
        <v>122</v>
      </c>
      <c r="F30" s="5" t="s">
        <v>56</v>
      </c>
      <c r="G30" s="11" t="s">
        <v>32</v>
      </c>
      <c r="H30" s="11" t="s">
        <v>16</v>
      </c>
      <c r="I30" s="12">
        <v>46198</v>
      </c>
      <c r="J30" s="12">
        <v>46228</v>
      </c>
      <c r="K30" s="12"/>
      <c r="L30" s="13">
        <v>0</v>
      </c>
      <c r="M30" s="11">
        <f t="shared" ca="1" si="0"/>
        <v>31</v>
      </c>
      <c r="N30" s="11" t="str">
        <f t="shared" ca="1" si="1"/>
        <v>En fecha</v>
      </c>
      <c r="O30" s="6"/>
    </row>
    <row r="31" spans="1:15">
      <c r="A31" s="9">
        <v>27</v>
      </c>
      <c r="B31" s="5" t="s">
        <v>24</v>
      </c>
      <c r="C31" s="5" t="s">
        <v>123</v>
      </c>
      <c r="D31" s="5" t="s">
        <v>124</v>
      </c>
      <c r="E31" s="5" t="s">
        <v>125</v>
      </c>
      <c r="F31" s="5" t="s">
        <v>61</v>
      </c>
      <c r="G31" s="11" t="s">
        <v>32</v>
      </c>
      <c r="H31" s="11" t="s">
        <v>16</v>
      </c>
      <c r="I31" s="12">
        <v>46213</v>
      </c>
      <c r="J31" s="12">
        <v>46243</v>
      </c>
      <c r="K31" s="12"/>
      <c r="L31" s="13">
        <v>0</v>
      </c>
      <c r="M31" s="11">
        <f t="shared" ca="1" si="0"/>
        <v>46</v>
      </c>
      <c r="N31" s="11" t="str">
        <f t="shared" ca="1" si="1"/>
        <v>En fecha</v>
      </c>
      <c r="O31" s="6"/>
    </row>
    <row r="32" spans="1:15">
      <c r="A32" s="9">
        <v>28</v>
      </c>
      <c r="B32" s="5"/>
      <c r="C32" s="5"/>
      <c r="D32" s="5"/>
      <c r="E32" s="5"/>
      <c r="F32" s="5"/>
      <c r="G32" s="11"/>
      <c r="H32" s="11"/>
      <c r="I32" s="12"/>
      <c r="J32" s="12"/>
      <c r="K32" s="12"/>
      <c r="L32" s="13"/>
      <c r="M32" s="11" t="str">
        <f t="shared" ca="1" si="0"/>
        <v/>
      </c>
      <c r="N32" s="11" t="str">
        <f t="shared" ca="1" si="1"/>
        <v/>
      </c>
      <c r="O32" s="6"/>
    </row>
    <row r="33" spans="1:15">
      <c r="A33" s="9">
        <v>29</v>
      </c>
      <c r="B33" s="5"/>
      <c r="C33" s="5"/>
      <c r="D33" s="5"/>
      <c r="E33" s="5"/>
      <c r="F33" s="5"/>
      <c r="G33" s="11"/>
      <c r="H33" s="11"/>
      <c r="I33" s="12"/>
      <c r="J33" s="12"/>
      <c r="K33" s="12"/>
      <c r="L33" s="13"/>
      <c r="M33" s="11" t="str">
        <f t="shared" ca="1" si="0"/>
        <v/>
      </c>
      <c r="N33" s="11" t="str">
        <f t="shared" ca="1" si="1"/>
        <v/>
      </c>
      <c r="O33" s="6"/>
    </row>
    <row r="34" spans="1:15">
      <c r="A34" s="9">
        <v>30</v>
      </c>
      <c r="B34" s="5"/>
      <c r="C34" s="5"/>
      <c r="D34" s="5"/>
      <c r="E34" s="5"/>
      <c r="F34" s="5"/>
      <c r="G34" s="11"/>
      <c r="H34" s="11"/>
      <c r="I34" s="12"/>
      <c r="J34" s="12"/>
      <c r="K34" s="12"/>
      <c r="L34" s="13"/>
      <c r="M34" s="11" t="str">
        <f t="shared" ca="1" si="0"/>
        <v/>
      </c>
      <c r="N34" s="11" t="str">
        <f t="shared" ca="1" si="1"/>
        <v/>
      </c>
      <c r="O34" s="6"/>
    </row>
    <row r="35" spans="1:15">
      <c r="A35" s="9">
        <v>31</v>
      </c>
      <c r="B35" s="5"/>
      <c r="C35" s="5"/>
      <c r="D35" s="5"/>
      <c r="E35" s="5"/>
      <c r="F35" s="5"/>
      <c r="G35" s="11"/>
      <c r="H35" s="11"/>
      <c r="I35" s="12"/>
      <c r="J35" s="12"/>
      <c r="K35" s="12"/>
      <c r="L35" s="13"/>
      <c r="M35" s="11" t="str">
        <f t="shared" ca="1" si="0"/>
        <v/>
      </c>
      <c r="N35" s="11" t="str">
        <f t="shared" ca="1" si="1"/>
        <v/>
      </c>
      <c r="O35" s="6"/>
    </row>
    <row r="36" spans="1:15">
      <c r="A36" s="9">
        <v>32</v>
      </c>
      <c r="B36" s="5"/>
      <c r="C36" s="5"/>
      <c r="D36" s="5"/>
      <c r="E36" s="5"/>
      <c r="F36" s="5"/>
      <c r="G36" s="11"/>
      <c r="H36" s="11"/>
      <c r="I36" s="12"/>
      <c r="J36" s="12"/>
      <c r="K36" s="12"/>
      <c r="L36" s="13"/>
      <c r="M36" s="11" t="str">
        <f t="shared" ca="1" si="0"/>
        <v/>
      </c>
      <c r="N36" s="11" t="str">
        <f t="shared" ca="1" si="1"/>
        <v/>
      </c>
      <c r="O36" s="6"/>
    </row>
    <row r="37" spans="1:15">
      <c r="A37" s="9">
        <v>33</v>
      </c>
      <c r="B37" s="5"/>
      <c r="C37" s="5"/>
      <c r="D37" s="5"/>
      <c r="E37" s="5"/>
      <c r="F37" s="5"/>
      <c r="G37" s="11"/>
      <c r="H37" s="11"/>
      <c r="I37" s="12"/>
      <c r="J37" s="12"/>
      <c r="K37" s="12"/>
      <c r="L37" s="13"/>
      <c r="M37" s="11" t="str">
        <f t="shared" ref="M37:M68" ca="1" si="2">IF(D37="","",IF(H37="Completado",0,I37-TODAY()))</f>
        <v/>
      </c>
      <c r="N37" s="11" t="str">
        <f t="shared" ref="N37:N68" ca="1" si="3">IF(D37="","",IF(H37="Completado","OK",IF(H37="Bloqueado","Bloqueado",IF(I37&lt;TODAY(),"Vencido",IF(I37-TODAY()&lt;=7,"Próximo","En fecha")))))</f>
        <v/>
      </c>
      <c r="O37" s="6"/>
    </row>
    <row r="38" spans="1:15">
      <c r="A38" s="9">
        <v>34</v>
      </c>
      <c r="B38" s="5"/>
      <c r="C38" s="5"/>
      <c r="D38" s="5"/>
      <c r="E38" s="5"/>
      <c r="F38" s="5"/>
      <c r="G38" s="11"/>
      <c r="H38" s="11"/>
      <c r="I38" s="12"/>
      <c r="J38" s="12"/>
      <c r="K38" s="12"/>
      <c r="L38" s="13"/>
      <c r="M38" s="11" t="str">
        <f t="shared" ca="1" si="2"/>
        <v/>
      </c>
      <c r="N38" s="11" t="str">
        <f t="shared" ca="1" si="3"/>
        <v/>
      </c>
      <c r="O38" s="6"/>
    </row>
    <row r="39" spans="1:15">
      <c r="A39" s="9">
        <v>35</v>
      </c>
      <c r="B39" s="5"/>
      <c r="C39" s="5"/>
      <c r="D39" s="5"/>
      <c r="E39" s="5"/>
      <c r="F39" s="5"/>
      <c r="G39" s="11"/>
      <c r="H39" s="11"/>
      <c r="I39" s="12"/>
      <c r="J39" s="12"/>
      <c r="K39" s="12"/>
      <c r="L39" s="13"/>
      <c r="M39" s="11" t="str">
        <f t="shared" ca="1" si="2"/>
        <v/>
      </c>
      <c r="N39" s="11" t="str">
        <f t="shared" ca="1" si="3"/>
        <v/>
      </c>
      <c r="O39" s="6"/>
    </row>
    <row r="40" spans="1:15">
      <c r="A40" s="9">
        <v>36</v>
      </c>
      <c r="B40" s="5"/>
      <c r="C40" s="5"/>
      <c r="D40" s="5"/>
      <c r="E40" s="5"/>
      <c r="F40" s="5"/>
      <c r="G40" s="11"/>
      <c r="H40" s="11"/>
      <c r="I40" s="12"/>
      <c r="J40" s="12"/>
      <c r="K40" s="12"/>
      <c r="L40" s="13"/>
      <c r="M40" s="11" t="str">
        <f t="shared" ca="1" si="2"/>
        <v/>
      </c>
      <c r="N40" s="11" t="str">
        <f t="shared" ca="1" si="3"/>
        <v/>
      </c>
      <c r="O40" s="6"/>
    </row>
    <row r="41" spans="1:15">
      <c r="A41" s="9">
        <v>37</v>
      </c>
      <c r="B41" s="5"/>
      <c r="C41" s="5"/>
      <c r="D41" s="5"/>
      <c r="E41" s="5"/>
      <c r="F41" s="5"/>
      <c r="G41" s="11"/>
      <c r="H41" s="11"/>
      <c r="I41" s="12"/>
      <c r="J41" s="12"/>
      <c r="K41" s="12"/>
      <c r="L41" s="13"/>
      <c r="M41" s="11" t="str">
        <f t="shared" ca="1" si="2"/>
        <v/>
      </c>
      <c r="N41" s="11" t="str">
        <f t="shared" ca="1" si="3"/>
        <v/>
      </c>
      <c r="O41" s="6"/>
    </row>
    <row r="42" spans="1:15">
      <c r="A42" s="9">
        <v>38</v>
      </c>
      <c r="B42" s="5"/>
      <c r="C42" s="5"/>
      <c r="D42" s="5"/>
      <c r="E42" s="5"/>
      <c r="F42" s="5"/>
      <c r="G42" s="11"/>
      <c r="H42" s="11"/>
      <c r="I42" s="12"/>
      <c r="J42" s="12"/>
      <c r="K42" s="12"/>
      <c r="L42" s="13"/>
      <c r="M42" s="11" t="str">
        <f t="shared" ca="1" si="2"/>
        <v/>
      </c>
      <c r="N42" s="11" t="str">
        <f t="shared" ca="1" si="3"/>
        <v/>
      </c>
      <c r="O42" s="6"/>
    </row>
    <row r="43" spans="1:15">
      <c r="A43" s="9">
        <v>39</v>
      </c>
      <c r="B43" s="5"/>
      <c r="C43" s="5"/>
      <c r="D43" s="5"/>
      <c r="E43" s="5"/>
      <c r="F43" s="5"/>
      <c r="G43" s="11"/>
      <c r="H43" s="11"/>
      <c r="I43" s="12"/>
      <c r="J43" s="12"/>
      <c r="K43" s="12"/>
      <c r="L43" s="13"/>
      <c r="M43" s="11" t="str">
        <f t="shared" ca="1" si="2"/>
        <v/>
      </c>
      <c r="N43" s="11" t="str">
        <f t="shared" ca="1" si="3"/>
        <v/>
      </c>
      <c r="O43" s="6"/>
    </row>
    <row r="44" spans="1:15">
      <c r="A44" s="9">
        <v>40</v>
      </c>
      <c r="B44" s="5"/>
      <c r="C44" s="5"/>
      <c r="D44" s="5"/>
      <c r="E44" s="5"/>
      <c r="F44" s="5"/>
      <c r="G44" s="11"/>
      <c r="H44" s="11"/>
      <c r="I44" s="12"/>
      <c r="J44" s="12"/>
      <c r="K44" s="12"/>
      <c r="L44" s="13"/>
      <c r="M44" s="11" t="str">
        <f t="shared" ca="1" si="2"/>
        <v/>
      </c>
      <c r="N44" s="11" t="str">
        <f t="shared" ca="1" si="3"/>
        <v/>
      </c>
      <c r="O44" s="6"/>
    </row>
    <row r="45" spans="1:15">
      <c r="A45" s="9">
        <v>41</v>
      </c>
      <c r="B45" s="5"/>
      <c r="C45" s="5"/>
      <c r="D45" s="5"/>
      <c r="E45" s="5"/>
      <c r="F45" s="5"/>
      <c r="G45" s="11"/>
      <c r="H45" s="11"/>
      <c r="I45" s="12"/>
      <c r="J45" s="12"/>
      <c r="K45" s="12"/>
      <c r="L45" s="13"/>
      <c r="M45" s="11" t="str">
        <f t="shared" ca="1" si="2"/>
        <v/>
      </c>
      <c r="N45" s="11" t="str">
        <f t="shared" ca="1" si="3"/>
        <v/>
      </c>
      <c r="O45" s="6"/>
    </row>
    <row r="46" spans="1:15">
      <c r="A46" s="9">
        <v>42</v>
      </c>
      <c r="B46" s="5"/>
      <c r="C46" s="5"/>
      <c r="D46" s="5"/>
      <c r="E46" s="5"/>
      <c r="F46" s="5"/>
      <c r="G46" s="11"/>
      <c r="H46" s="11"/>
      <c r="I46" s="12"/>
      <c r="J46" s="12"/>
      <c r="K46" s="12"/>
      <c r="L46" s="13"/>
      <c r="M46" s="11" t="str">
        <f t="shared" ca="1" si="2"/>
        <v/>
      </c>
      <c r="N46" s="11" t="str">
        <f t="shared" ca="1" si="3"/>
        <v/>
      </c>
      <c r="O46" s="6"/>
    </row>
    <row r="47" spans="1:15">
      <c r="A47" s="9">
        <v>43</v>
      </c>
      <c r="B47" s="5"/>
      <c r="C47" s="5"/>
      <c r="D47" s="5"/>
      <c r="E47" s="5"/>
      <c r="F47" s="5"/>
      <c r="G47" s="11"/>
      <c r="H47" s="11"/>
      <c r="I47" s="12"/>
      <c r="J47" s="12"/>
      <c r="K47" s="12"/>
      <c r="L47" s="13"/>
      <c r="M47" s="11" t="str">
        <f t="shared" ca="1" si="2"/>
        <v/>
      </c>
      <c r="N47" s="11" t="str">
        <f t="shared" ca="1" si="3"/>
        <v/>
      </c>
      <c r="O47" s="6"/>
    </row>
    <row r="48" spans="1:15">
      <c r="A48" s="9">
        <v>44</v>
      </c>
      <c r="B48" s="5"/>
      <c r="C48" s="5"/>
      <c r="D48" s="5"/>
      <c r="E48" s="5"/>
      <c r="F48" s="5"/>
      <c r="G48" s="11"/>
      <c r="H48" s="11"/>
      <c r="I48" s="12"/>
      <c r="J48" s="12"/>
      <c r="K48" s="12"/>
      <c r="L48" s="13"/>
      <c r="M48" s="11" t="str">
        <f t="shared" ca="1" si="2"/>
        <v/>
      </c>
      <c r="N48" s="11" t="str">
        <f t="shared" ca="1" si="3"/>
        <v/>
      </c>
      <c r="O48" s="6"/>
    </row>
    <row r="49" spans="1:15">
      <c r="A49" s="9">
        <v>45</v>
      </c>
      <c r="B49" s="5"/>
      <c r="C49" s="5"/>
      <c r="D49" s="5"/>
      <c r="E49" s="5"/>
      <c r="F49" s="5"/>
      <c r="G49" s="11"/>
      <c r="H49" s="11"/>
      <c r="I49" s="12"/>
      <c r="J49" s="12"/>
      <c r="K49" s="12"/>
      <c r="L49" s="13"/>
      <c r="M49" s="11" t="str">
        <f t="shared" ca="1" si="2"/>
        <v/>
      </c>
      <c r="N49" s="11" t="str">
        <f t="shared" ca="1" si="3"/>
        <v/>
      </c>
      <c r="O49" s="6"/>
    </row>
    <row r="50" spans="1:15">
      <c r="A50" s="9">
        <v>46</v>
      </c>
      <c r="B50" s="5"/>
      <c r="C50" s="5"/>
      <c r="D50" s="5"/>
      <c r="E50" s="5"/>
      <c r="F50" s="5"/>
      <c r="G50" s="11"/>
      <c r="H50" s="11"/>
      <c r="I50" s="12"/>
      <c r="J50" s="12"/>
      <c r="K50" s="12"/>
      <c r="L50" s="13"/>
      <c r="M50" s="11" t="str">
        <f t="shared" ca="1" si="2"/>
        <v/>
      </c>
      <c r="N50" s="11" t="str">
        <f t="shared" ca="1" si="3"/>
        <v/>
      </c>
      <c r="O50" s="6"/>
    </row>
    <row r="51" spans="1:15">
      <c r="A51" s="9">
        <v>47</v>
      </c>
      <c r="B51" s="5"/>
      <c r="C51" s="5"/>
      <c r="D51" s="5"/>
      <c r="E51" s="5"/>
      <c r="F51" s="5"/>
      <c r="G51" s="11"/>
      <c r="H51" s="11"/>
      <c r="I51" s="12"/>
      <c r="J51" s="12"/>
      <c r="K51" s="12"/>
      <c r="L51" s="13"/>
      <c r="M51" s="11" t="str">
        <f t="shared" ca="1" si="2"/>
        <v/>
      </c>
      <c r="N51" s="11" t="str">
        <f t="shared" ca="1" si="3"/>
        <v/>
      </c>
      <c r="O51" s="6"/>
    </row>
    <row r="52" spans="1:15">
      <c r="A52" s="9">
        <v>48</v>
      </c>
      <c r="B52" s="5"/>
      <c r="C52" s="5"/>
      <c r="D52" s="5"/>
      <c r="E52" s="5"/>
      <c r="F52" s="5"/>
      <c r="G52" s="11"/>
      <c r="H52" s="11"/>
      <c r="I52" s="12"/>
      <c r="J52" s="12"/>
      <c r="K52" s="12"/>
      <c r="L52" s="13"/>
      <c r="M52" s="11" t="str">
        <f t="shared" ca="1" si="2"/>
        <v/>
      </c>
      <c r="N52" s="11" t="str">
        <f t="shared" ca="1" si="3"/>
        <v/>
      </c>
      <c r="O52" s="6"/>
    </row>
    <row r="53" spans="1:15">
      <c r="A53" s="9">
        <v>49</v>
      </c>
      <c r="B53" s="5"/>
      <c r="C53" s="5"/>
      <c r="D53" s="5"/>
      <c r="E53" s="5"/>
      <c r="F53" s="5"/>
      <c r="G53" s="11"/>
      <c r="H53" s="11"/>
      <c r="I53" s="12"/>
      <c r="J53" s="12"/>
      <c r="K53" s="12"/>
      <c r="L53" s="13"/>
      <c r="M53" s="11" t="str">
        <f t="shared" ca="1" si="2"/>
        <v/>
      </c>
      <c r="N53" s="11" t="str">
        <f t="shared" ca="1" si="3"/>
        <v/>
      </c>
      <c r="O53" s="6"/>
    </row>
    <row r="54" spans="1:15">
      <c r="A54" s="9">
        <v>50</v>
      </c>
      <c r="B54" s="5"/>
      <c r="C54" s="5"/>
      <c r="D54" s="5"/>
      <c r="E54" s="5"/>
      <c r="F54" s="5"/>
      <c r="G54" s="11"/>
      <c r="H54" s="11"/>
      <c r="I54" s="12"/>
      <c r="J54" s="12"/>
      <c r="K54" s="12"/>
      <c r="L54" s="13"/>
      <c r="M54" s="11" t="str">
        <f t="shared" ca="1" si="2"/>
        <v/>
      </c>
      <c r="N54" s="11" t="str">
        <f t="shared" ca="1" si="3"/>
        <v/>
      </c>
      <c r="O54" s="6"/>
    </row>
    <row r="55" spans="1:15">
      <c r="A55" s="9">
        <v>51</v>
      </c>
      <c r="B55" s="5"/>
      <c r="C55" s="5"/>
      <c r="D55" s="5"/>
      <c r="E55" s="5"/>
      <c r="F55" s="5"/>
      <c r="G55" s="11"/>
      <c r="H55" s="11"/>
      <c r="I55" s="12"/>
      <c r="J55" s="12"/>
      <c r="K55" s="12"/>
      <c r="L55" s="13"/>
      <c r="M55" s="11" t="str">
        <f t="shared" ca="1" si="2"/>
        <v/>
      </c>
      <c r="N55" s="11" t="str">
        <f t="shared" ca="1" si="3"/>
        <v/>
      </c>
      <c r="O55" s="6"/>
    </row>
    <row r="56" spans="1:15">
      <c r="A56" s="9">
        <v>52</v>
      </c>
      <c r="B56" s="5"/>
      <c r="C56" s="5"/>
      <c r="D56" s="5"/>
      <c r="E56" s="5"/>
      <c r="F56" s="5"/>
      <c r="G56" s="11"/>
      <c r="H56" s="11"/>
      <c r="I56" s="12"/>
      <c r="J56" s="12"/>
      <c r="K56" s="12"/>
      <c r="L56" s="13"/>
      <c r="M56" s="11" t="str">
        <f t="shared" ca="1" si="2"/>
        <v/>
      </c>
      <c r="N56" s="11" t="str">
        <f t="shared" ca="1" si="3"/>
        <v/>
      </c>
      <c r="O56" s="6"/>
    </row>
    <row r="57" spans="1:15">
      <c r="A57" s="9">
        <v>53</v>
      </c>
      <c r="B57" s="5"/>
      <c r="C57" s="5"/>
      <c r="D57" s="5"/>
      <c r="E57" s="5"/>
      <c r="F57" s="5"/>
      <c r="G57" s="11"/>
      <c r="H57" s="11"/>
      <c r="I57" s="12"/>
      <c r="J57" s="12"/>
      <c r="K57" s="12"/>
      <c r="L57" s="13"/>
      <c r="M57" s="11" t="str">
        <f t="shared" ca="1" si="2"/>
        <v/>
      </c>
      <c r="N57" s="11" t="str">
        <f t="shared" ca="1" si="3"/>
        <v/>
      </c>
      <c r="O57" s="6"/>
    </row>
    <row r="58" spans="1:15">
      <c r="A58" s="9">
        <v>54</v>
      </c>
      <c r="B58" s="5"/>
      <c r="C58" s="5"/>
      <c r="D58" s="5"/>
      <c r="E58" s="5"/>
      <c r="F58" s="5"/>
      <c r="G58" s="11"/>
      <c r="H58" s="11"/>
      <c r="I58" s="12"/>
      <c r="J58" s="12"/>
      <c r="K58" s="12"/>
      <c r="L58" s="13"/>
      <c r="M58" s="11" t="str">
        <f t="shared" ca="1" si="2"/>
        <v/>
      </c>
      <c r="N58" s="11" t="str">
        <f t="shared" ca="1" si="3"/>
        <v/>
      </c>
      <c r="O58" s="6"/>
    </row>
    <row r="59" spans="1:15">
      <c r="A59" s="9">
        <v>55</v>
      </c>
      <c r="B59" s="5"/>
      <c r="C59" s="5"/>
      <c r="D59" s="5"/>
      <c r="E59" s="5"/>
      <c r="F59" s="5"/>
      <c r="G59" s="11"/>
      <c r="H59" s="11"/>
      <c r="I59" s="12"/>
      <c r="J59" s="12"/>
      <c r="K59" s="12"/>
      <c r="L59" s="13"/>
      <c r="M59" s="11" t="str">
        <f t="shared" ca="1" si="2"/>
        <v/>
      </c>
      <c r="N59" s="11" t="str">
        <f t="shared" ca="1" si="3"/>
        <v/>
      </c>
      <c r="O59" s="6"/>
    </row>
    <row r="60" spans="1:15">
      <c r="A60" s="9">
        <v>56</v>
      </c>
      <c r="B60" s="5"/>
      <c r="C60" s="5"/>
      <c r="D60" s="5"/>
      <c r="E60" s="5"/>
      <c r="F60" s="5"/>
      <c r="G60" s="11"/>
      <c r="H60" s="11"/>
      <c r="I60" s="12"/>
      <c r="J60" s="12"/>
      <c r="K60" s="12"/>
      <c r="L60" s="13"/>
      <c r="M60" s="11" t="str">
        <f t="shared" ca="1" si="2"/>
        <v/>
      </c>
      <c r="N60" s="11" t="str">
        <f t="shared" ca="1" si="3"/>
        <v/>
      </c>
      <c r="O60" s="6"/>
    </row>
    <row r="61" spans="1:15">
      <c r="A61" s="9">
        <v>57</v>
      </c>
      <c r="B61" s="5"/>
      <c r="C61" s="5"/>
      <c r="D61" s="5"/>
      <c r="E61" s="5"/>
      <c r="F61" s="5"/>
      <c r="G61" s="11"/>
      <c r="H61" s="11"/>
      <c r="I61" s="12"/>
      <c r="J61" s="12"/>
      <c r="K61" s="12"/>
      <c r="L61" s="13"/>
      <c r="M61" s="11" t="str">
        <f t="shared" ca="1" si="2"/>
        <v/>
      </c>
      <c r="N61" s="11" t="str">
        <f t="shared" ca="1" si="3"/>
        <v/>
      </c>
      <c r="O61" s="6"/>
    </row>
    <row r="62" spans="1:15">
      <c r="A62" s="9">
        <v>58</v>
      </c>
      <c r="B62" s="5"/>
      <c r="C62" s="5"/>
      <c r="D62" s="5"/>
      <c r="E62" s="5"/>
      <c r="F62" s="5"/>
      <c r="G62" s="11"/>
      <c r="H62" s="11"/>
      <c r="I62" s="12"/>
      <c r="J62" s="12"/>
      <c r="K62" s="12"/>
      <c r="L62" s="13"/>
      <c r="M62" s="11" t="str">
        <f t="shared" ca="1" si="2"/>
        <v/>
      </c>
      <c r="N62" s="11" t="str">
        <f t="shared" ca="1" si="3"/>
        <v/>
      </c>
      <c r="O62" s="6"/>
    </row>
    <row r="63" spans="1:15">
      <c r="A63" s="9">
        <v>59</v>
      </c>
      <c r="B63" s="5"/>
      <c r="C63" s="5"/>
      <c r="D63" s="5"/>
      <c r="E63" s="5"/>
      <c r="F63" s="5"/>
      <c r="G63" s="11"/>
      <c r="H63" s="11"/>
      <c r="I63" s="12"/>
      <c r="J63" s="12"/>
      <c r="K63" s="12"/>
      <c r="L63" s="13"/>
      <c r="M63" s="11" t="str">
        <f t="shared" ca="1" si="2"/>
        <v/>
      </c>
      <c r="N63" s="11" t="str">
        <f t="shared" ca="1" si="3"/>
        <v/>
      </c>
      <c r="O63" s="6"/>
    </row>
    <row r="64" spans="1:15">
      <c r="A64" s="9">
        <v>60</v>
      </c>
      <c r="B64" s="5"/>
      <c r="C64" s="5"/>
      <c r="D64" s="5"/>
      <c r="E64" s="5"/>
      <c r="F64" s="5"/>
      <c r="G64" s="11"/>
      <c r="H64" s="11"/>
      <c r="I64" s="12"/>
      <c r="J64" s="12"/>
      <c r="K64" s="12"/>
      <c r="L64" s="13"/>
      <c r="M64" s="11" t="str">
        <f t="shared" ca="1" si="2"/>
        <v/>
      </c>
      <c r="N64" s="11" t="str">
        <f t="shared" ca="1" si="3"/>
        <v/>
      </c>
      <c r="O64" s="6"/>
    </row>
    <row r="65" spans="1:15">
      <c r="A65" s="9">
        <v>61</v>
      </c>
      <c r="B65" s="5"/>
      <c r="C65" s="5"/>
      <c r="D65" s="5"/>
      <c r="E65" s="5"/>
      <c r="F65" s="5"/>
      <c r="G65" s="11"/>
      <c r="H65" s="11"/>
      <c r="I65" s="12"/>
      <c r="J65" s="12"/>
      <c r="K65" s="12"/>
      <c r="L65" s="13"/>
      <c r="M65" s="11" t="str">
        <f t="shared" ca="1" si="2"/>
        <v/>
      </c>
      <c r="N65" s="11" t="str">
        <f t="shared" ca="1" si="3"/>
        <v/>
      </c>
      <c r="O65" s="6"/>
    </row>
    <row r="66" spans="1:15">
      <c r="A66" s="9">
        <v>62</v>
      </c>
      <c r="B66" s="5"/>
      <c r="C66" s="5"/>
      <c r="D66" s="5"/>
      <c r="E66" s="5"/>
      <c r="F66" s="5"/>
      <c r="G66" s="11"/>
      <c r="H66" s="11"/>
      <c r="I66" s="12"/>
      <c r="J66" s="12"/>
      <c r="K66" s="12"/>
      <c r="L66" s="13"/>
      <c r="M66" s="11" t="str">
        <f t="shared" ca="1" si="2"/>
        <v/>
      </c>
      <c r="N66" s="11" t="str">
        <f t="shared" ca="1" si="3"/>
        <v/>
      </c>
      <c r="O66" s="6"/>
    </row>
    <row r="67" spans="1:15">
      <c r="A67" s="9">
        <v>63</v>
      </c>
      <c r="B67" s="5"/>
      <c r="C67" s="5"/>
      <c r="D67" s="5"/>
      <c r="E67" s="5"/>
      <c r="F67" s="5"/>
      <c r="G67" s="11"/>
      <c r="H67" s="11"/>
      <c r="I67" s="12"/>
      <c r="J67" s="12"/>
      <c r="K67" s="12"/>
      <c r="L67" s="13"/>
      <c r="M67" s="11" t="str">
        <f t="shared" ca="1" si="2"/>
        <v/>
      </c>
      <c r="N67" s="11" t="str">
        <f t="shared" ca="1" si="3"/>
        <v/>
      </c>
      <c r="O67" s="6"/>
    </row>
    <row r="68" spans="1:15">
      <c r="A68" s="9">
        <v>64</v>
      </c>
      <c r="B68" s="5"/>
      <c r="C68" s="5"/>
      <c r="D68" s="5"/>
      <c r="E68" s="5"/>
      <c r="F68" s="5"/>
      <c r="G68" s="11"/>
      <c r="H68" s="11"/>
      <c r="I68" s="12"/>
      <c r="J68" s="12"/>
      <c r="K68" s="12"/>
      <c r="L68" s="13"/>
      <c r="M68" s="11" t="str">
        <f t="shared" ca="1" si="2"/>
        <v/>
      </c>
      <c r="N68" s="11" t="str">
        <f t="shared" ca="1" si="3"/>
        <v/>
      </c>
      <c r="O68" s="6"/>
    </row>
    <row r="69" spans="1:15">
      <c r="A69" s="9">
        <v>65</v>
      </c>
      <c r="B69" s="5"/>
      <c r="C69" s="5"/>
      <c r="D69" s="5"/>
      <c r="E69" s="5"/>
      <c r="F69" s="5"/>
      <c r="G69" s="11"/>
      <c r="H69" s="11"/>
      <c r="I69" s="12"/>
      <c r="J69" s="12"/>
      <c r="K69" s="12"/>
      <c r="L69" s="13"/>
      <c r="M69" s="11" t="str">
        <f t="shared" ref="M69:M104" ca="1" si="4">IF(D69="","",IF(H69="Completado",0,I69-TODAY()))</f>
        <v/>
      </c>
      <c r="N69" s="11" t="str">
        <f t="shared" ref="N69:N104" ca="1" si="5">IF(D69="","",IF(H69="Completado","OK",IF(H69="Bloqueado","Bloqueado",IF(I69&lt;TODAY(),"Vencido",IF(I69-TODAY()&lt;=7,"Próximo","En fecha")))))</f>
        <v/>
      </c>
      <c r="O69" s="6"/>
    </row>
    <row r="70" spans="1:15">
      <c r="A70" s="9">
        <v>66</v>
      </c>
      <c r="B70" s="5"/>
      <c r="C70" s="5"/>
      <c r="D70" s="5"/>
      <c r="E70" s="5"/>
      <c r="F70" s="5"/>
      <c r="G70" s="11"/>
      <c r="H70" s="11"/>
      <c r="I70" s="12"/>
      <c r="J70" s="12"/>
      <c r="K70" s="12"/>
      <c r="L70" s="13"/>
      <c r="M70" s="11" t="str">
        <f t="shared" ca="1" si="4"/>
        <v/>
      </c>
      <c r="N70" s="11" t="str">
        <f t="shared" ca="1" si="5"/>
        <v/>
      </c>
      <c r="O70" s="6"/>
    </row>
    <row r="71" spans="1:15">
      <c r="A71" s="9">
        <v>67</v>
      </c>
      <c r="B71" s="5"/>
      <c r="C71" s="5"/>
      <c r="D71" s="5"/>
      <c r="E71" s="5"/>
      <c r="F71" s="5"/>
      <c r="G71" s="11"/>
      <c r="H71" s="11"/>
      <c r="I71" s="12"/>
      <c r="J71" s="12"/>
      <c r="K71" s="12"/>
      <c r="L71" s="13"/>
      <c r="M71" s="11" t="str">
        <f t="shared" ca="1" si="4"/>
        <v/>
      </c>
      <c r="N71" s="11" t="str">
        <f t="shared" ca="1" si="5"/>
        <v/>
      </c>
      <c r="O71" s="6"/>
    </row>
    <row r="72" spans="1:15">
      <c r="A72" s="9">
        <v>68</v>
      </c>
      <c r="B72" s="5"/>
      <c r="C72" s="5"/>
      <c r="D72" s="5"/>
      <c r="E72" s="5"/>
      <c r="F72" s="5"/>
      <c r="G72" s="11"/>
      <c r="H72" s="11"/>
      <c r="I72" s="12"/>
      <c r="J72" s="12"/>
      <c r="K72" s="12"/>
      <c r="L72" s="13"/>
      <c r="M72" s="11" t="str">
        <f t="shared" ca="1" si="4"/>
        <v/>
      </c>
      <c r="N72" s="11" t="str">
        <f t="shared" ca="1" si="5"/>
        <v/>
      </c>
      <c r="O72" s="6"/>
    </row>
    <row r="73" spans="1:15">
      <c r="A73" s="9">
        <v>69</v>
      </c>
      <c r="B73" s="5"/>
      <c r="C73" s="5"/>
      <c r="D73" s="5"/>
      <c r="E73" s="5"/>
      <c r="F73" s="5"/>
      <c r="G73" s="11"/>
      <c r="H73" s="11"/>
      <c r="I73" s="12"/>
      <c r="J73" s="12"/>
      <c r="K73" s="12"/>
      <c r="L73" s="13"/>
      <c r="M73" s="11" t="str">
        <f t="shared" ca="1" si="4"/>
        <v/>
      </c>
      <c r="N73" s="11" t="str">
        <f t="shared" ca="1" si="5"/>
        <v/>
      </c>
      <c r="O73" s="6"/>
    </row>
    <row r="74" spans="1:15">
      <c r="A74" s="9">
        <v>70</v>
      </c>
      <c r="B74" s="5"/>
      <c r="C74" s="5"/>
      <c r="D74" s="5"/>
      <c r="E74" s="5"/>
      <c r="F74" s="5"/>
      <c r="G74" s="11"/>
      <c r="H74" s="11"/>
      <c r="I74" s="12"/>
      <c r="J74" s="12"/>
      <c r="K74" s="12"/>
      <c r="L74" s="13"/>
      <c r="M74" s="11" t="str">
        <f t="shared" ca="1" si="4"/>
        <v/>
      </c>
      <c r="N74" s="11" t="str">
        <f t="shared" ca="1" si="5"/>
        <v/>
      </c>
      <c r="O74" s="6"/>
    </row>
    <row r="75" spans="1:15">
      <c r="A75" s="9">
        <v>71</v>
      </c>
      <c r="B75" s="5"/>
      <c r="C75" s="5"/>
      <c r="D75" s="5"/>
      <c r="E75" s="5"/>
      <c r="F75" s="5"/>
      <c r="G75" s="11"/>
      <c r="H75" s="11"/>
      <c r="I75" s="12"/>
      <c r="J75" s="12"/>
      <c r="K75" s="12"/>
      <c r="L75" s="13"/>
      <c r="M75" s="11" t="str">
        <f t="shared" ca="1" si="4"/>
        <v/>
      </c>
      <c r="N75" s="11" t="str">
        <f t="shared" ca="1" si="5"/>
        <v/>
      </c>
      <c r="O75" s="6"/>
    </row>
    <row r="76" spans="1:15">
      <c r="A76" s="9">
        <v>72</v>
      </c>
      <c r="B76" s="5"/>
      <c r="C76" s="5"/>
      <c r="D76" s="5"/>
      <c r="E76" s="5"/>
      <c r="F76" s="5"/>
      <c r="G76" s="11"/>
      <c r="H76" s="11"/>
      <c r="I76" s="12"/>
      <c r="J76" s="12"/>
      <c r="K76" s="12"/>
      <c r="L76" s="13"/>
      <c r="M76" s="11" t="str">
        <f t="shared" ca="1" si="4"/>
        <v/>
      </c>
      <c r="N76" s="11" t="str">
        <f t="shared" ca="1" si="5"/>
        <v/>
      </c>
      <c r="O76" s="6"/>
    </row>
    <row r="77" spans="1:15">
      <c r="A77" s="9">
        <v>73</v>
      </c>
      <c r="B77" s="5"/>
      <c r="C77" s="5"/>
      <c r="D77" s="5"/>
      <c r="E77" s="5"/>
      <c r="F77" s="5"/>
      <c r="G77" s="11"/>
      <c r="H77" s="11"/>
      <c r="I77" s="12"/>
      <c r="J77" s="12"/>
      <c r="K77" s="12"/>
      <c r="L77" s="13"/>
      <c r="M77" s="11" t="str">
        <f t="shared" ca="1" si="4"/>
        <v/>
      </c>
      <c r="N77" s="11" t="str">
        <f t="shared" ca="1" si="5"/>
        <v/>
      </c>
      <c r="O77" s="6"/>
    </row>
    <row r="78" spans="1:15">
      <c r="A78" s="9">
        <v>74</v>
      </c>
      <c r="B78" s="5"/>
      <c r="C78" s="5"/>
      <c r="D78" s="5"/>
      <c r="E78" s="5"/>
      <c r="F78" s="5"/>
      <c r="G78" s="11"/>
      <c r="H78" s="11"/>
      <c r="I78" s="12"/>
      <c r="J78" s="12"/>
      <c r="K78" s="12"/>
      <c r="L78" s="13"/>
      <c r="M78" s="11" t="str">
        <f t="shared" ca="1" si="4"/>
        <v/>
      </c>
      <c r="N78" s="11" t="str">
        <f t="shared" ca="1" si="5"/>
        <v/>
      </c>
      <c r="O78" s="6"/>
    </row>
    <row r="79" spans="1:15">
      <c r="A79" s="9">
        <v>75</v>
      </c>
      <c r="B79" s="5"/>
      <c r="C79" s="5"/>
      <c r="D79" s="5"/>
      <c r="E79" s="5"/>
      <c r="F79" s="5"/>
      <c r="G79" s="11"/>
      <c r="H79" s="11"/>
      <c r="I79" s="12"/>
      <c r="J79" s="12"/>
      <c r="K79" s="12"/>
      <c r="L79" s="13"/>
      <c r="M79" s="11" t="str">
        <f t="shared" ca="1" si="4"/>
        <v/>
      </c>
      <c r="N79" s="11" t="str">
        <f t="shared" ca="1" si="5"/>
        <v/>
      </c>
      <c r="O79" s="6"/>
    </row>
    <row r="80" spans="1:15">
      <c r="A80" s="9">
        <v>76</v>
      </c>
      <c r="B80" s="5"/>
      <c r="C80" s="5"/>
      <c r="D80" s="5"/>
      <c r="E80" s="5"/>
      <c r="F80" s="5"/>
      <c r="G80" s="11"/>
      <c r="H80" s="11"/>
      <c r="I80" s="12"/>
      <c r="J80" s="12"/>
      <c r="K80" s="12"/>
      <c r="L80" s="13"/>
      <c r="M80" s="11" t="str">
        <f t="shared" ca="1" si="4"/>
        <v/>
      </c>
      <c r="N80" s="11" t="str">
        <f t="shared" ca="1" si="5"/>
        <v/>
      </c>
      <c r="O80" s="6"/>
    </row>
    <row r="81" spans="1:15">
      <c r="A81" s="9">
        <v>77</v>
      </c>
      <c r="B81" s="5"/>
      <c r="C81" s="5"/>
      <c r="D81" s="5"/>
      <c r="E81" s="5"/>
      <c r="F81" s="5"/>
      <c r="G81" s="11"/>
      <c r="H81" s="11"/>
      <c r="I81" s="12"/>
      <c r="J81" s="12"/>
      <c r="K81" s="12"/>
      <c r="L81" s="13"/>
      <c r="M81" s="11" t="str">
        <f t="shared" ca="1" si="4"/>
        <v/>
      </c>
      <c r="N81" s="11" t="str">
        <f t="shared" ca="1" si="5"/>
        <v/>
      </c>
      <c r="O81" s="6"/>
    </row>
    <row r="82" spans="1:15">
      <c r="A82" s="9">
        <v>78</v>
      </c>
      <c r="B82" s="5"/>
      <c r="C82" s="5"/>
      <c r="D82" s="5"/>
      <c r="E82" s="5"/>
      <c r="F82" s="5"/>
      <c r="G82" s="11"/>
      <c r="H82" s="11"/>
      <c r="I82" s="12"/>
      <c r="J82" s="12"/>
      <c r="K82" s="12"/>
      <c r="L82" s="13"/>
      <c r="M82" s="11" t="str">
        <f t="shared" ca="1" si="4"/>
        <v/>
      </c>
      <c r="N82" s="11" t="str">
        <f t="shared" ca="1" si="5"/>
        <v/>
      </c>
      <c r="O82" s="6"/>
    </row>
    <row r="83" spans="1:15">
      <c r="A83" s="9">
        <v>79</v>
      </c>
      <c r="B83" s="5"/>
      <c r="C83" s="5"/>
      <c r="D83" s="5"/>
      <c r="E83" s="5"/>
      <c r="F83" s="5"/>
      <c r="G83" s="11"/>
      <c r="H83" s="11"/>
      <c r="I83" s="12"/>
      <c r="J83" s="12"/>
      <c r="K83" s="12"/>
      <c r="L83" s="13"/>
      <c r="M83" s="11" t="str">
        <f t="shared" ca="1" si="4"/>
        <v/>
      </c>
      <c r="N83" s="11" t="str">
        <f t="shared" ca="1" si="5"/>
        <v/>
      </c>
      <c r="O83" s="6"/>
    </row>
    <row r="84" spans="1:15">
      <c r="A84" s="9">
        <v>80</v>
      </c>
      <c r="B84" s="5"/>
      <c r="C84" s="5"/>
      <c r="D84" s="5"/>
      <c r="E84" s="5"/>
      <c r="F84" s="5"/>
      <c r="G84" s="11"/>
      <c r="H84" s="11"/>
      <c r="I84" s="12"/>
      <c r="J84" s="12"/>
      <c r="K84" s="12"/>
      <c r="L84" s="13"/>
      <c r="M84" s="11" t="str">
        <f t="shared" ca="1" si="4"/>
        <v/>
      </c>
      <c r="N84" s="11" t="str">
        <f t="shared" ca="1" si="5"/>
        <v/>
      </c>
      <c r="O84" s="6"/>
    </row>
    <row r="85" spans="1:15">
      <c r="A85" s="9">
        <v>81</v>
      </c>
      <c r="B85" s="5"/>
      <c r="C85" s="5"/>
      <c r="D85" s="5"/>
      <c r="E85" s="5"/>
      <c r="F85" s="5"/>
      <c r="G85" s="11"/>
      <c r="H85" s="11"/>
      <c r="I85" s="12"/>
      <c r="J85" s="12"/>
      <c r="K85" s="12"/>
      <c r="L85" s="13"/>
      <c r="M85" s="11" t="str">
        <f t="shared" ca="1" si="4"/>
        <v/>
      </c>
      <c r="N85" s="11" t="str">
        <f t="shared" ca="1" si="5"/>
        <v/>
      </c>
      <c r="O85" s="6"/>
    </row>
    <row r="86" spans="1:15">
      <c r="A86" s="9">
        <v>82</v>
      </c>
      <c r="B86" s="5"/>
      <c r="C86" s="5"/>
      <c r="D86" s="5"/>
      <c r="E86" s="5"/>
      <c r="F86" s="5"/>
      <c r="G86" s="11"/>
      <c r="H86" s="11"/>
      <c r="I86" s="12"/>
      <c r="J86" s="12"/>
      <c r="K86" s="12"/>
      <c r="L86" s="13"/>
      <c r="M86" s="11" t="str">
        <f t="shared" ca="1" si="4"/>
        <v/>
      </c>
      <c r="N86" s="11" t="str">
        <f t="shared" ca="1" si="5"/>
        <v/>
      </c>
      <c r="O86" s="6"/>
    </row>
    <row r="87" spans="1:15">
      <c r="A87" s="9">
        <v>83</v>
      </c>
      <c r="B87" s="5"/>
      <c r="C87" s="5"/>
      <c r="D87" s="5"/>
      <c r="E87" s="5"/>
      <c r="F87" s="5"/>
      <c r="G87" s="11"/>
      <c r="H87" s="11"/>
      <c r="I87" s="12"/>
      <c r="J87" s="12"/>
      <c r="K87" s="12"/>
      <c r="L87" s="13"/>
      <c r="M87" s="11" t="str">
        <f t="shared" ca="1" si="4"/>
        <v/>
      </c>
      <c r="N87" s="11" t="str">
        <f t="shared" ca="1" si="5"/>
        <v/>
      </c>
      <c r="O87" s="6"/>
    </row>
    <row r="88" spans="1:15">
      <c r="A88" s="9">
        <v>84</v>
      </c>
      <c r="B88" s="5"/>
      <c r="C88" s="5"/>
      <c r="D88" s="5"/>
      <c r="E88" s="5"/>
      <c r="F88" s="5"/>
      <c r="G88" s="11"/>
      <c r="H88" s="11"/>
      <c r="I88" s="12"/>
      <c r="J88" s="12"/>
      <c r="K88" s="12"/>
      <c r="L88" s="13"/>
      <c r="M88" s="11" t="str">
        <f t="shared" ca="1" si="4"/>
        <v/>
      </c>
      <c r="N88" s="11" t="str">
        <f t="shared" ca="1" si="5"/>
        <v/>
      </c>
      <c r="O88" s="6"/>
    </row>
    <row r="89" spans="1:15">
      <c r="A89" s="9">
        <v>85</v>
      </c>
      <c r="B89" s="5"/>
      <c r="C89" s="5"/>
      <c r="D89" s="5"/>
      <c r="E89" s="5"/>
      <c r="F89" s="5"/>
      <c r="G89" s="11"/>
      <c r="H89" s="11"/>
      <c r="I89" s="12"/>
      <c r="J89" s="12"/>
      <c r="K89" s="12"/>
      <c r="L89" s="13"/>
      <c r="M89" s="11" t="str">
        <f t="shared" ca="1" si="4"/>
        <v/>
      </c>
      <c r="N89" s="11" t="str">
        <f t="shared" ca="1" si="5"/>
        <v/>
      </c>
      <c r="O89" s="6"/>
    </row>
    <row r="90" spans="1:15">
      <c r="A90" s="9">
        <v>86</v>
      </c>
      <c r="B90" s="5"/>
      <c r="C90" s="5"/>
      <c r="D90" s="5"/>
      <c r="E90" s="5"/>
      <c r="F90" s="5"/>
      <c r="G90" s="11"/>
      <c r="H90" s="11"/>
      <c r="I90" s="12"/>
      <c r="J90" s="12"/>
      <c r="K90" s="12"/>
      <c r="L90" s="13"/>
      <c r="M90" s="11" t="str">
        <f t="shared" ca="1" si="4"/>
        <v/>
      </c>
      <c r="N90" s="11" t="str">
        <f t="shared" ca="1" si="5"/>
        <v/>
      </c>
      <c r="O90" s="6"/>
    </row>
    <row r="91" spans="1:15">
      <c r="A91" s="9">
        <v>87</v>
      </c>
      <c r="B91" s="5"/>
      <c r="C91" s="5"/>
      <c r="D91" s="5"/>
      <c r="E91" s="5"/>
      <c r="F91" s="5"/>
      <c r="G91" s="11"/>
      <c r="H91" s="11"/>
      <c r="I91" s="12"/>
      <c r="J91" s="12"/>
      <c r="K91" s="12"/>
      <c r="L91" s="13"/>
      <c r="M91" s="11" t="str">
        <f t="shared" ca="1" si="4"/>
        <v/>
      </c>
      <c r="N91" s="11" t="str">
        <f t="shared" ca="1" si="5"/>
        <v/>
      </c>
      <c r="O91" s="6"/>
    </row>
    <row r="92" spans="1:15">
      <c r="A92" s="9">
        <v>88</v>
      </c>
      <c r="B92" s="5"/>
      <c r="C92" s="5"/>
      <c r="D92" s="5"/>
      <c r="E92" s="5"/>
      <c r="F92" s="5"/>
      <c r="G92" s="11"/>
      <c r="H92" s="11"/>
      <c r="I92" s="12"/>
      <c r="J92" s="12"/>
      <c r="K92" s="12"/>
      <c r="L92" s="13"/>
      <c r="M92" s="11" t="str">
        <f t="shared" ca="1" si="4"/>
        <v/>
      </c>
      <c r="N92" s="11" t="str">
        <f t="shared" ca="1" si="5"/>
        <v/>
      </c>
      <c r="O92" s="6"/>
    </row>
    <row r="93" spans="1:15">
      <c r="A93" s="9">
        <v>89</v>
      </c>
      <c r="B93" s="5"/>
      <c r="C93" s="5"/>
      <c r="D93" s="5"/>
      <c r="E93" s="5"/>
      <c r="F93" s="5"/>
      <c r="G93" s="11"/>
      <c r="H93" s="11"/>
      <c r="I93" s="12"/>
      <c r="J93" s="12"/>
      <c r="K93" s="12"/>
      <c r="L93" s="13"/>
      <c r="M93" s="11" t="str">
        <f t="shared" ca="1" si="4"/>
        <v/>
      </c>
      <c r="N93" s="11" t="str">
        <f t="shared" ca="1" si="5"/>
        <v/>
      </c>
      <c r="O93" s="6"/>
    </row>
    <row r="94" spans="1:15">
      <c r="A94" s="9">
        <v>90</v>
      </c>
      <c r="B94" s="5"/>
      <c r="C94" s="5"/>
      <c r="D94" s="5"/>
      <c r="E94" s="5"/>
      <c r="F94" s="5"/>
      <c r="G94" s="11"/>
      <c r="H94" s="11"/>
      <c r="I94" s="12"/>
      <c r="J94" s="12"/>
      <c r="K94" s="12"/>
      <c r="L94" s="13"/>
      <c r="M94" s="11" t="str">
        <f t="shared" ca="1" si="4"/>
        <v/>
      </c>
      <c r="N94" s="11" t="str">
        <f t="shared" ca="1" si="5"/>
        <v/>
      </c>
      <c r="O94" s="6"/>
    </row>
    <row r="95" spans="1:15">
      <c r="A95" s="9">
        <v>91</v>
      </c>
      <c r="B95" s="5"/>
      <c r="C95" s="5"/>
      <c r="D95" s="5"/>
      <c r="E95" s="5"/>
      <c r="F95" s="5"/>
      <c r="G95" s="11"/>
      <c r="H95" s="11"/>
      <c r="I95" s="12"/>
      <c r="J95" s="12"/>
      <c r="K95" s="12"/>
      <c r="L95" s="13"/>
      <c r="M95" s="11" t="str">
        <f t="shared" ca="1" si="4"/>
        <v/>
      </c>
      <c r="N95" s="11" t="str">
        <f t="shared" ca="1" si="5"/>
        <v/>
      </c>
      <c r="O95" s="6"/>
    </row>
    <row r="96" spans="1:15">
      <c r="A96" s="9">
        <v>92</v>
      </c>
      <c r="B96" s="5"/>
      <c r="C96" s="5"/>
      <c r="D96" s="5"/>
      <c r="E96" s="5"/>
      <c r="F96" s="5"/>
      <c r="G96" s="11"/>
      <c r="H96" s="11"/>
      <c r="I96" s="12"/>
      <c r="J96" s="12"/>
      <c r="K96" s="12"/>
      <c r="L96" s="13"/>
      <c r="M96" s="11" t="str">
        <f t="shared" ca="1" si="4"/>
        <v/>
      </c>
      <c r="N96" s="11" t="str">
        <f t="shared" ca="1" si="5"/>
        <v/>
      </c>
      <c r="O96" s="6"/>
    </row>
    <row r="97" spans="1:15">
      <c r="A97" s="9">
        <v>93</v>
      </c>
      <c r="B97" s="5"/>
      <c r="C97" s="5"/>
      <c r="D97" s="5"/>
      <c r="E97" s="5"/>
      <c r="F97" s="5"/>
      <c r="G97" s="11"/>
      <c r="H97" s="11"/>
      <c r="I97" s="12"/>
      <c r="J97" s="12"/>
      <c r="K97" s="12"/>
      <c r="L97" s="13"/>
      <c r="M97" s="11" t="str">
        <f t="shared" ca="1" si="4"/>
        <v/>
      </c>
      <c r="N97" s="11" t="str">
        <f t="shared" ca="1" si="5"/>
        <v/>
      </c>
      <c r="O97" s="6"/>
    </row>
    <row r="98" spans="1:15">
      <c r="A98" s="9">
        <v>94</v>
      </c>
      <c r="B98" s="5"/>
      <c r="C98" s="5"/>
      <c r="D98" s="5"/>
      <c r="E98" s="5"/>
      <c r="F98" s="5"/>
      <c r="G98" s="11"/>
      <c r="H98" s="11"/>
      <c r="I98" s="12"/>
      <c r="J98" s="12"/>
      <c r="K98" s="12"/>
      <c r="L98" s="13"/>
      <c r="M98" s="11" t="str">
        <f t="shared" ca="1" si="4"/>
        <v/>
      </c>
      <c r="N98" s="11" t="str">
        <f t="shared" ca="1" si="5"/>
        <v/>
      </c>
      <c r="O98" s="6"/>
    </row>
    <row r="99" spans="1:15">
      <c r="A99" s="9">
        <v>95</v>
      </c>
      <c r="B99" s="5"/>
      <c r="C99" s="5"/>
      <c r="D99" s="5"/>
      <c r="E99" s="5"/>
      <c r="F99" s="5"/>
      <c r="G99" s="11"/>
      <c r="H99" s="11"/>
      <c r="I99" s="12"/>
      <c r="J99" s="12"/>
      <c r="K99" s="12"/>
      <c r="L99" s="13"/>
      <c r="M99" s="11" t="str">
        <f t="shared" ca="1" si="4"/>
        <v/>
      </c>
      <c r="N99" s="11" t="str">
        <f t="shared" ca="1" si="5"/>
        <v/>
      </c>
      <c r="O99" s="6"/>
    </row>
    <row r="100" spans="1:15">
      <c r="A100" s="9">
        <v>96</v>
      </c>
      <c r="B100" s="5"/>
      <c r="C100" s="5"/>
      <c r="D100" s="5"/>
      <c r="E100" s="5"/>
      <c r="F100" s="5"/>
      <c r="G100" s="11"/>
      <c r="H100" s="11"/>
      <c r="I100" s="12"/>
      <c r="J100" s="12"/>
      <c r="K100" s="12"/>
      <c r="L100" s="13"/>
      <c r="M100" s="11" t="str">
        <f t="shared" ca="1" si="4"/>
        <v/>
      </c>
      <c r="N100" s="11" t="str">
        <f t="shared" ca="1" si="5"/>
        <v/>
      </c>
      <c r="O100" s="6"/>
    </row>
    <row r="101" spans="1:15">
      <c r="A101" s="9">
        <v>97</v>
      </c>
      <c r="B101" s="5"/>
      <c r="C101" s="5"/>
      <c r="D101" s="5"/>
      <c r="E101" s="5"/>
      <c r="F101" s="5"/>
      <c r="G101" s="11"/>
      <c r="H101" s="11"/>
      <c r="I101" s="12"/>
      <c r="J101" s="12"/>
      <c r="K101" s="12"/>
      <c r="L101" s="13"/>
      <c r="M101" s="11" t="str">
        <f t="shared" ca="1" si="4"/>
        <v/>
      </c>
      <c r="N101" s="11" t="str">
        <f t="shared" ca="1" si="5"/>
        <v/>
      </c>
      <c r="O101" s="6"/>
    </row>
    <row r="102" spans="1:15">
      <c r="A102" s="9">
        <v>98</v>
      </c>
      <c r="B102" s="5"/>
      <c r="C102" s="5"/>
      <c r="D102" s="5"/>
      <c r="E102" s="5"/>
      <c r="F102" s="5"/>
      <c r="G102" s="11"/>
      <c r="H102" s="11"/>
      <c r="I102" s="12"/>
      <c r="J102" s="12"/>
      <c r="K102" s="12"/>
      <c r="L102" s="13"/>
      <c r="M102" s="11" t="str">
        <f t="shared" ca="1" si="4"/>
        <v/>
      </c>
      <c r="N102" s="11" t="str">
        <f t="shared" ca="1" si="5"/>
        <v/>
      </c>
      <c r="O102" s="6"/>
    </row>
    <row r="103" spans="1:15">
      <c r="A103" s="9">
        <v>99</v>
      </c>
      <c r="B103" s="5"/>
      <c r="C103" s="5"/>
      <c r="D103" s="5"/>
      <c r="E103" s="5"/>
      <c r="F103" s="5"/>
      <c r="G103" s="11"/>
      <c r="H103" s="11"/>
      <c r="I103" s="12"/>
      <c r="J103" s="12"/>
      <c r="K103" s="12"/>
      <c r="L103" s="13"/>
      <c r="M103" s="11" t="str">
        <f t="shared" ca="1" si="4"/>
        <v/>
      </c>
      <c r="N103" s="11" t="str">
        <f t="shared" ca="1" si="5"/>
        <v/>
      </c>
      <c r="O103" s="6"/>
    </row>
    <row r="104" spans="1:15">
      <c r="A104" s="10">
        <v>100</v>
      </c>
      <c r="B104" s="7"/>
      <c r="C104" s="7"/>
      <c r="D104" s="7"/>
      <c r="E104" s="7"/>
      <c r="F104" s="7"/>
      <c r="G104" s="14"/>
      <c r="H104" s="14"/>
      <c r="I104" s="15"/>
      <c r="J104" s="15"/>
      <c r="K104" s="15"/>
      <c r="L104" s="16"/>
      <c r="M104" s="14" t="str">
        <f t="shared" ca="1" si="4"/>
        <v/>
      </c>
      <c r="N104" s="14" t="str">
        <f t="shared" ca="1" si="5"/>
        <v/>
      </c>
      <c r="O104" s="8"/>
    </row>
  </sheetData>
  <mergeCells count="2">
    <mergeCell ref="A1:O1"/>
    <mergeCell ref="A2:O2"/>
  </mergeCells>
  <conditionalFormatting sqref="G5:G104">
    <cfRule type="expression" dxfId="10" priority="5">
      <formula>G5="Alta"</formula>
    </cfRule>
    <cfRule type="expression" dxfId="9" priority="6">
      <formula>G5="Media"</formula>
    </cfRule>
    <cfRule type="expression" dxfId="8" priority="7">
      <formula>G5="Baja"</formula>
    </cfRule>
  </conditionalFormatting>
  <conditionalFormatting sqref="H5:H104">
    <cfRule type="expression" dxfId="7" priority="1">
      <formula>H5="Completado"</formula>
    </cfRule>
    <cfRule type="expression" dxfId="6" priority="2">
      <formula>H5="En curso"</formula>
    </cfRule>
    <cfRule type="expression" dxfId="5" priority="3">
      <formula>H5="Bloqueado"</formula>
    </cfRule>
    <cfRule type="expression" dxfId="4" priority="4">
      <formula>H5="En revisión"</formula>
    </cfRule>
  </conditionalFormatting>
  <conditionalFormatting sqref="L5:L104">
    <cfRule type="dataBar" priority="12">
      <dataBar>
        <cfvo type="min"/>
        <cfvo type="max"/>
        <color rgb="FF22C55E"/>
      </dataBar>
    </cfRule>
    <cfRule type="dataBar" priority="13">
      <dataBar>
        <cfvo type="min"/>
        <cfvo type="max"/>
        <color rgb="FF22C55E"/>
      </dataBar>
      <extLst>
        <ext xmlns:x14="http://schemas.microsoft.com/office/spreadsheetml/2009/9/main" uri="{B025F937-C7B1-47D3-B67F-A62EFF666E3E}">
          <x14:id>{45CAFF25-A7DD-9F9B-99CE-0FE611128136}</x14:id>
        </ext>
      </extLst>
    </cfRule>
  </conditionalFormatting>
  <conditionalFormatting sqref="N5:N104">
    <cfRule type="expression" dxfId="3" priority="8">
      <formula>N5="OK"</formula>
    </cfRule>
    <cfRule type="expression" dxfId="2" priority="9">
      <formula>N5="Vencido"</formula>
    </cfRule>
    <cfRule type="expression" dxfId="1" priority="10">
      <formula>N5="Próximo"</formula>
    </cfRule>
    <cfRule type="expression" dxfId="0" priority="11">
      <formula>N5="Bloqueado"</formula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5CAFF25-A7DD-9F9B-99CE-0FE611128136}">
            <x14:dataBar>
              <x14:cfvo type="min"/>
              <x14:cfvo type="max"/>
              <x14:negativeFillColor auto="1"/>
              <x14:axisColor auto="1"/>
            </x14:dataBar>
          </x14:cfRule>
          <xm:sqref>L5:L104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4">
        <x14:dataValidation type="list" xr:uid="{00000000-0002-0000-0100-000000000000}">
          <x14:formula1>
            <xm:f>Listas!$A$2:$A$7</xm:f>
          </x14:formula1>
          <xm:sqref>B5:B104</xm:sqref>
        </x14:dataValidation>
        <x14:dataValidation type="list" xr:uid="{00000000-0002-0000-0100-000001000000}">
          <x14:formula1>
            <xm:f>Listas!$D$2:$D$6</xm:f>
          </x14:formula1>
          <xm:sqref>F5:F104</xm:sqref>
        </x14:dataValidation>
        <x14:dataValidation type="list" xr:uid="{00000000-0002-0000-0100-000002000000}">
          <x14:formula1>
            <xm:f>Listas!$C$2:$C$4</xm:f>
          </x14:formula1>
          <xm:sqref>G5:G104</xm:sqref>
        </x14:dataValidation>
        <x14:dataValidation type="list" xr:uid="{00000000-0002-0000-0100-000003000000}">
          <x14:formula1>
            <xm:f>Listas!$B$2:$B$9</xm:f>
          </x14:formula1>
          <xm:sqref>H5:H104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03"/>
  <sheetViews>
    <sheetView workbookViewId="0"/>
  </sheetViews>
  <sheetFormatPr baseColWidth="10" defaultColWidth="8.796875" defaultRowHeight="13.8"/>
  <cols>
    <col min="1" max="1" width="13" customWidth="1"/>
    <col min="2" max="2" width="15" customWidth="1"/>
    <col min="3" max="3" width="26" customWidth="1"/>
    <col min="4" max="4" width="38" customWidth="1"/>
    <col min="5" max="5" width="18" customWidth="1"/>
    <col min="6" max="6" width="36" customWidth="1"/>
    <col min="7" max="7" width="14" customWidth="1"/>
    <col min="8" max="8" width="15" customWidth="1"/>
    <col min="9" max="9" width="36" customWidth="1"/>
  </cols>
  <sheetData>
    <row r="1" spans="1:9" ht="25.65" customHeight="1">
      <c r="A1" s="86" t="s">
        <v>126</v>
      </c>
      <c r="B1" s="60"/>
      <c r="C1" s="60"/>
      <c r="D1" s="60"/>
      <c r="E1" s="60"/>
      <c r="F1" s="60"/>
      <c r="G1" s="60"/>
      <c r="H1" s="60"/>
      <c r="I1" s="60"/>
    </row>
    <row r="3" spans="1:9" ht="24" customHeight="1">
      <c r="A3" s="2" t="s">
        <v>127</v>
      </c>
      <c r="B3" s="3" t="s">
        <v>42</v>
      </c>
      <c r="C3" s="3" t="s">
        <v>128</v>
      </c>
      <c r="D3" s="3" t="s">
        <v>129</v>
      </c>
      <c r="E3" s="3" t="s">
        <v>45</v>
      </c>
      <c r="F3" s="3" t="s">
        <v>130</v>
      </c>
      <c r="G3" s="3" t="s">
        <v>131</v>
      </c>
      <c r="H3" s="3" t="s">
        <v>13</v>
      </c>
      <c r="I3" s="4" t="s">
        <v>132</v>
      </c>
    </row>
    <row r="4" spans="1:9">
      <c r="A4" s="21"/>
      <c r="B4" s="17" t="s">
        <v>133</v>
      </c>
      <c r="C4" s="17" t="s">
        <v>134</v>
      </c>
      <c r="D4" s="17"/>
      <c r="E4" s="17" t="s">
        <v>61</v>
      </c>
      <c r="F4" s="17"/>
      <c r="G4" s="23"/>
      <c r="H4" s="17" t="s">
        <v>16</v>
      </c>
      <c r="I4" s="18"/>
    </row>
    <row r="5" spans="1:9">
      <c r="A5" s="21"/>
      <c r="B5" s="17" t="s">
        <v>135</v>
      </c>
      <c r="C5" s="17" t="s">
        <v>136</v>
      </c>
      <c r="D5" s="17"/>
      <c r="E5" s="17" t="s">
        <v>56</v>
      </c>
      <c r="F5" s="17"/>
      <c r="G5" s="23"/>
      <c r="H5" s="17" t="s">
        <v>16</v>
      </c>
      <c r="I5" s="18"/>
    </row>
    <row r="6" spans="1:9">
      <c r="A6" s="21"/>
      <c r="B6" s="17"/>
      <c r="C6" s="17"/>
      <c r="D6" s="17"/>
      <c r="E6" s="17"/>
      <c r="F6" s="17"/>
      <c r="G6" s="23"/>
      <c r="H6" s="17"/>
      <c r="I6" s="18"/>
    </row>
    <row r="7" spans="1:9">
      <c r="A7" s="21"/>
      <c r="B7" s="17"/>
      <c r="C7" s="17"/>
      <c r="D7" s="17"/>
      <c r="E7" s="17"/>
      <c r="F7" s="17"/>
      <c r="G7" s="23"/>
      <c r="H7" s="17"/>
      <c r="I7" s="18"/>
    </row>
    <row r="8" spans="1:9">
      <c r="A8" s="21"/>
      <c r="B8" s="17"/>
      <c r="C8" s="17"/>
      <c r="D8" s="17"/>
      <c r="E8" s="17"/>
      <c r="F8" s="17"/>
      <c r="G8" s="23"/>
      <c r="H8" s="17"/>
      <c r="I8" s="18"/>
    </row>
    <row r="9" spans="1:9">
      <c r="A9" s="21"/>
      <c r="B9" s="17"/>
      <c r="C9" s="17"/>
      <c r="D9" s="17"/>
      <c r="E9" s="17"/>
      <c r="F9" s="17"/>
      <c r="G9" s="23"/>
      <c r="H9" s="17"/>
      <c r="I9" s="18"/>
    </row>
    <row r="10" spans="1:9">
      <c r="A10" s="21"/>
      <c r="B10" s="17"/>
      <c r="C10" s="17"/>
      <c r="D10" s="17"/>
      <c r="E10" s="17"/>
      <c r="F10" s="17"/>
      <c r="G10" s="23"/>
      <c r="H10" s="17"/>
      <c r="I10" s="18"/>
    </row>
    <row r="11" spans="1:9">
      <c r="A11" s="21"/>
      <c r="B11" s="17"/>
      <c r="C11" s="17"/>
      <c r="D11" s="17"/>
      <c r="E11" s="17"/>
      <c r="F11" s="17"/>
      <c r="G11" s="23"/>
      <c r="H11" s="17"/>
      <c r="I11" s="18"/>
    </row>
    <row r="12" spans="1:9">
      <c r="A12" s="21"/>
      <c r="B12" s="17"/>
      <c r="C12" s="17"/>
      <c r="D12" s="17"/>
      <c r="E12" s="17"/>
      <c r="F12" s="17"/>
      <c r="G12" s="23"/>
      <c r="H12" s="17"/>
      <c r="I12" s="18"/>
    </row>
    <row r="13" spans="1:9">
      <c r="A13" s="21"/>
      <c r="B13" s="17"/>
      <c r="C13" s="17"/>
      <c r="D13" s="17"/>
      <c r="E13" s="17"/>
      <c r="F13" s="17"/>
      <c r="G13" s="23"/>
      <c r="H13" s="17"/>
      <c r="I13" s="18"/>
    </row>
    <row r="14" spans="1:9">
      <c r="A14" s="21"/>
      <c r="B14" s="17"/>
      <c r="C14" s="17"/>
      <c r="D14" s="17"/>
      <c r="E14" s="17"/>
      <c r="F14" s="17"/>
      <c r="G14" s="23"/>
      <c r="H14" s="17"/>
      <c r="I14" s="18"/>
    </row>
    <row r="15" spans="1:9">
      <c r="A15" s="21"/>
      <c r="B15" s="17"/>
      <c r="C15" s="17"/>
      <c r="D15" s="17"/>
      <c r="E15" s="17"/>
      <c r="F15" s="17"/>
      <c r="G15" s="23"/>
      <c r="H15" s="17"/>
      <c r="I15" s="18"/>
    </row>
    <row r="16" spans="1:9">
      <c r="A16" s="21"/>
      <c r="B16" s="17"/>
      <c r="C16" s="17"/>
      <c r="D16" s="17"/>
      <c r="E16" s="17"/>
      <c r="F16" s="17"/>
      <c r="G16" s="23"/>
      <c r="H16" s="17"/>
      <c r="I16" s="18"/>
    </row>
    <row r="17" spans="1:9">
      <c r="A17" s="21"/>
      <c r="B17" s="17"/>
      <c r="C17" s="17"/>
      <c r="D17" s="17"/>
      <c r="E17" s="17"/>
      <c r="F17" s="17"/>
      <c r="G17" s="23"/>
      <c r="H17" s="17"/>
      <c r="I17" s="18"/>
    </row>
    <row r="18" spans="1:9">
      <c r="A18" s="21"/>
      <c r="B18" s="17"/>
      <c r="C18" s="17"/>
      <c r="D18" s="17"/>
      <c r="E18" s="17"/>
      <c r="F18" s="17"/>
      <c r="G18" s="23"/>
      <c r="H18" s="17"/>
      <c r="I18" s="18"/>
    </row>
    <row r="19" spans="1:9">
      <c r="A19" s="21"/>
      <c r="B19" s="17"/>
      <c r="C19" s="17"/>
      <c r="D19" s="17"/>
      <c r="E19" s="17"/>
      <c r="F19" s="17"/>
      <c r="G19" s="23"/>
      <c r="H19" s="17"/>
      <c r="I19" s="18"/>
    </row>
    <row r="20" spans="1:9">
      <c r="A20" s="21"/>
      <c r="B20" s="17"/>
      <c r="C20" s="17"/>
      <c r="D20" s="17"/>
      <c r="E20" s="17"/>
      <c r="F20" s="17"/>
      <c r="G20" s="23"/>
      <c r="H20" s="17"/>
      <c r="I20" s="18"/>
    </row>
    <row r="21" spans="1:9">
      <c r="A21" s="21"/>
      <c r="B21" s="17"/>
      <c r="C21" s="17"/>
      <c r="D21" s="17"/>
      <c r="E21" s="17"/>
      <c r="F21" s="17"/>
      <c r="G21" s="23"/>
      <c r="H21" s="17"/>
      <c r="I21" s="18"/>
    </row>
    <row r="22" spans="1:9">
      <c r="A22" s="21"/>
      <c r="B22" s="17"/>
      <c r="C22" s="17"/>
      <c r="D22" s="17"/>
      <c r="E22" s="17"/>
      <c r="F22" s="17"/>
      <c r="G22" s="23"/>
      <c r="H22" s="17"/>
      <c r="I22" s="18"/>
    </row>
    <row r="23" spans="1:9">
      <c r="A23" s="21"/>
      <c r="B23" s="17"/>
      <c r="C23" s="17"/>
      <c r="D23" s="17"/>
      <c r="E23" s="17"/>
      <c r="F23" s="17"/>
      <c r="G23" s="23"/>
      <c r="H23" s="17"/>
      <c r="I23" s="18"/>
    </row>
    <row r="24" spans="1:9">
      <c r="A24" s="21"/>
      <c r="B24" s="17"/>
      <c r="C24" s="17"/>
      <c r="D24" s="17"/>
      <c r="E24" s="17"/>
      <c r="F24" s="17"/>
      <c r="G24" s="23"/>
      <c r="H24" s="17"/>
      <c r="I24" s="18"/>
    </row>
    <row r="25" spans="1:9">
      <c r="A25" s="21"/>
      <c r="B25" s="17"/>
      <c r="C25" s="17"/>
      <c r="D25" s="17"/>
      <c r="E25" s="17"/>
      <c r="F25" s="17"/>
      <c r="G25" s="23"/>
      <c r="H25" s="17"/>
      <c r="I25" s="18"/>
    </row>
    <row r="26" spans="1:9">
      <c r="A26" s="21"/>
      <c r="B26" s="17"/>
      <c r="C26" s="17"/>
      <c r="D26" s="17"/>
      <c r="E26" s="17"/>
      <c r="F26" s="17"/>
      <c r="G26" s="23"/>
      <c r="H26" s="17"/>
      <c r="I26" s="18"/>
    </row>
    <row r="27" spans="1:9">
      <c r="A27" s="21"/>
      <c r="B27" s="17"/>
      <c r="C27" s="17"/>
      <c r="D27" s="17"/>
      <c r="E27" s="17"/>
      <c r="F27" s="17"/>
      <c r="G27" s="23"/>
      <c r="H27" s="17"/>
      <c r="I27" s="18"/>
    </row>
    <row r="28" spans="1:9">
      <c r="A28" s="21"/>
      <c r="B28" s="17"/>
      <c r="C28" s="17"/>
      <c r="D28" s="17"/>
      <c r="E28" s="17"/>
      <c r="F28" s="17"/>
      <c r="G28" s="23"/>
      <c r="H28" s="17"/>
      <c r="I28" s="18"/>
    </row>
    <row r="29" spans="1:9">
      <c r="A29" s="21"/>
      <c r="B29" s="17"/>
      <c r="C29" s="17"/>
      <c r="D29" s="17"/>
      <c r="E29" s="17"/>
      <c r="F29" s="17"/>
      <c r="G29" s="23"/>
      <c r="H29" s="17"/>
      <c r="I29" s="18"/>
    </row>
    <row r="30" spans="1:9">
      <c r="A30" s="21"/>
      <c r="B30" s="17"/>
      <c r="C30" s="17"/>
      <c r="D30" s="17"/>
      <c r="E30" s="17"/>
      <c r="F30" s="17"/>
      <c r="G30" s="23"/>
      <c r="H30" s="17"/>
      <c r="I30" s="18"/>
    </row>
    <row r="31" spans="1:9">
      <c r="A31" s="21"/>
      <c r="B31" s="17"/>
      <c r="C31" s="17"/>
      <c r="D31" s="17"/>
      <c r="E31" s="17"/>
      <c r="F31" s="17"/>
      <c r="G31" s="23"/>
      <c r="H31" s="17"/>
      <c r="I31" s="18"/>
    </row>
    <row r="32" spans="1:9">
      <c r="A32" s="21"/>
      <c r="B32" s="17"/>
      <c r="C32" s="17"/>
      <c r="D32" s="17"/>
      <c r="E32" s="17"/>
      <c r="F32" s="17"/>
      <c r="G32" s="23"/>
      <c r="H32" s="17"/>
      <c r="I32" s="18"/>
    </row>
    <row r="33" spans="1:9">
      <c r="A33" s="21"/>
      <c r="B33" s="17"/>
      <c r="C33" s="17"/>
      <c r="D33" s="17"/>
      <c r="E33" s="17"/>
      <c r="F33" s="17"/>
      <c r="G33" s="23"/>
      <c r="H33" s="17"/>
      <c r="I33" s="18"/>
    </row>
    <row r="34" spans="1:9">
      <c r="A34" s="21"/>
      <c r="B34" s="17"/>
      <c r="C34" s="17"/>
      <c r="D34" s="17"/>
      <c r="E34" s="17"/>
      <c r="F34" s="17"/>
      <c r="G34" s="23"/>
      <c r="H34" s="17"/>
      <c r="I34" s="18"/>
    </row>
    <row r="35" spans="1:9">
      <c r="A35" s="21"/>
      <c r="B35" s="17"/>
      <c r="C35" s="17"/>
      <c r="D35" s="17"/>
      <c r="E35" s="17"/>
      <c r="F35" s="17"/>
      <c r="G35" s="23"/>
      <c r="H35" s="17"/>
      <c r="I35" s="18"/>
    </row>
    <row r="36" spans="1:9">
      <c r="A36" s="21"/>
      <c r="B36" s="17"/>
      <c r="C36" s="17"/>
      <c r="D36" s="17"/>
      <c r="E36" s="17"/>
      <c r="F36" s="17"/>
      <c r="G36" s="23"/>
      <c r="H36" s="17"/>
      <c r="I36" s="18"/>
    </row>
    <row r="37" spans="1:9">
      <c r="A37" s="21"/>
      <c r="B37" s="17"/>
      <c r="C37" s="17"/>
      <c r="D37" s="17"/>
      <c r="E37" s="17"/>
      <c r="F37" s="17"/>
      <c r="G37" s="23"/>
      <c r="H37" s="17"/>
      <c r="I37" s="18"/>
    </row>
    <row r="38" spans="1:9">
      <c r="A38" s="21"/>
      <c r="B38" s="17"/>
      <c r="C38" s="17"/>
      <c r="D38" s="17"/>
      <c r="E38" s="17"/>
      <c r="F38" s="17"/>
      <c r="G38" s="23"/>
      <c r="H38" s="17"/>
      <c r="I38" s="18"/>
    </row>
    <row r="39" spans="1:9">
      <c r="A39" s="21"/>
      <c r="B39" s="17"/>
      <c r="C39" s="17"/>
      <c r="D39" s="17"/>
      <c r="E39" s="17"/>
      <c r="F39" s="17"/>
      <c r="G39" s="23"/>
      <c r="H39" s="17"/>
      <c r="I39" s="18"/>
    </row>
    <row r="40" spans="1:9">
      <c r="A40" s="21"/>
      <c r="B40" s="17"/>
      <c r="C40" s="17"/>
      <c r="D40" s="17"/>
      <c r="E40" s="17"/>
      <c r="F40" s="17"/>
      <c r="G40" s="23"/>
      <c r="H40" s="17"/>
      <c r="I40" s="18"/>
    </row>
    <row r="41" spans="1:9">
      <c r="A41" s="21"/>
      <c r="B41" s="17"/>
      <c r="C41" s="17"/>
      <c r="D41" s="17"/>
      <c r="E41" s="17"/>
      <c r="F41" s="17"/>
      <c r="G41" s="23"/>
      <c r="H41" s="17"/>
      <c r="I41" s="18"/>
    </row>
    <row r="42" spans="1:9">
      <c r="A42" s="21"/>
      <c r="B42" s="17"/>
      <c r="C42" s="17"/>
      <c r="D42" s="17"/>
      <c r="E42" s="17"/>
      <c r="F42" s="17"/>
      <c r="G42" s="23"/>
      <c r="H42" s="17"/>
      <c r="I42" s="18"/>
    </row>
    <row r="43" spans="1:9">
      <c r="A43" s="21"/>
      <c r="B43" s="17"/>
      <c r="C43" s="17"/>
      <c r="D43" s="17"/>
      <c r="E43" s="17"/>
      <c r="F43" s="17"/>
      <c r="G43" s="23"/>
      <c r="H43" s="17"/>
      <c r="I43" s="18"/>
    </row>
    <row r="44" spans="1:9">
      <c r="A44" s="21"/>
      <c r="B44" s="17"/>
      <c r="C44" s="17"/>
      <c r="D44" s="17"/>
      <c r="E44" s="17"/>
      <c r="F44" s="17"/>
      <c r="G44" s="23"/>
      <c r="H44" s="17"/>
      <c r="I44" s="18"/>
    </row>
    <row r="45" spans="1:9">
      <c r="A45" s="21"/>
      <c r="B45" s="17"/>
      <c r="C45" s="17"/>
      <c r="D45" s="17"/>
      <c r="E45" s="17"/>
      <c r="F45" s="17"/>
      <c r="G45" s="23"/>
      <c r="H45" s="17"/>
      <c r="I45" s="18"/>
    </row>
    <row r="46" spans="1:9">
      <c r="A46" s="21"/>
      <c r="B46" s="17"/>
      <c r="C46" s="17"/>
      <c r="D46" s="17"/>
      <c r="E46" s="17"/>
      <c r="F46" s="17"/>
      <c r="G46" s="23"/>
      <c r="H46" s="17"/>
      <c r="I46" s="18"/>
    </row>
    <row r="47" spans="1:9">
      <c r="A47" s="21"/>
      <c r="B47" s="17"/>
      <c r="C47" s="17"/>
      <c r="D47" s="17"/>
      <c r="E47" s="17"/>
      <c r="F47" s="17"/>
      <c r="G47" s="23"/>
      <c r="H47" s="17"/>
      <c r="I47" s="18"/>
    </row>
    <row r="48" spans="1:9">
      <c r="A48" s="21"/>
      <c r="B48" s="17"/>
      <c r="C48" s="17"/>
      <c r="D48" s="17"/>
      <c r="E48" s="17"/>
      <c r="F48" s="17"/>
      <c r="G48" s="23"/>
      <c r="H48" s="17"/>
      <c r="I48" s="18"/>
    </row>
    <row r="49" spans="1:9">
      <c r="A49" s="21"/>
      <c r="B49" s="17"/>
      <c r="C49" s="17"/>
      <c r="D49" s="17"/>
      <c r="E49" s="17"/>
      <c r="F49" s="17"/>
      <c r="G49" s="23"/>
      <c r="H49" s="17"/>
      <c r="I49" s="18"/>
    </row>
    <row r="50" spans="1:9">
      <c r="A50" s="21"/>
      <c r="B50" s="17"/>
      <c r="C50" s="17"/>
      <c r="D50" s="17"/>
      <c r="E50" s="17"/>
      <c r="F50" s="17"/>
      <c r="G50" s="23"/>
      <c r="H50" s="17"/>
      <c r="I50" s="18"/>
    </row>
    <row r="51" spans="1:9">
      <c r="A51" s="21"/>
      <c r="B51" s="17"/>
      <c r="C51" s="17"/>
      <c r="D51" s="17"/>
      <c r="E51" s="17"/>
      <c r="F51" s="17"/>
      <c r="G51" s="23"/>
      <c r="H51" s="17"/>
      <c r="I51" s="18"/>
    </row>
    <row r="52" spans="1:9">
      <c r="A52" s="21"/>
      <c r="B52" s="17"/>
      <c r="C52" s="17"/>
      <c r="D52" s="17"/>
      <c r="E52" s="17"/>
      <c r="F52" s="17"/>
      <c r="G52" s="23"/>
      <c r="H52" s="17"/>
      <c r="I52" s="18"/>
    </row>
    <row r="53" spans="1:9">
      <c r="A53" s="21"/>
      <c r="B53" s="17"/>
      <c r="C53" s="17"/>
      <c r="D53" s="17"/>
      <c r="E53" s="17"/>
      <c r="F53" s="17"/>
      <c r="G53" s="23"/>
      <c r="H53" s="17"/>
      <c r="I53" s="18"/>
    </row>
    <row r="54" spans="1:9">
      <c r="A54" s="21"/>
      <c r="B54" s="17"/>
      <c r="C54" s="17"/>
      <c r="D54" s="17"/>
      <c r="E54" s="17"/>
      <c r="F54" s="17"/>
      <c r="G54" s="23"/>
      <c r="H54" s="17"/>
      <c r="I54" s="18"/>
    </row>
    <row r="55" spans="1:9">
      <c r="A55" s="21"/>
      <c r="B55" s="17"/>
      <c r="C55" s="17"/>
      <c r="D55" s="17"/>
      <c r="E55" s="17"/>
      <c r="F55" s="17"/>
      <c r="G55" s="23"/>
      <c r="H55" s="17"/>
      <c r="I55" s="18"/>
    </row>
    <row r="56" spans="1:9">
      <c r="A56" s="21"/>
      <c r="B56" s="17"/>
      <c r="C56" s="17"/>
      <c r="D56" s="17"/>
      <c r="E56" s="17"/>
      <c r="F56" s="17"/>
      <c r="G56" s="23"/>
      <c r="H56" s="17"/>
      <c r="I56" s="18"/>
    </row>
    <row r="57" spans="1:9">
      <c r="A57" s="21"/>
      <c r="B57" s="17"/>
      <c r="C57" s="17"/>
      <c r="D57" s="17"/>
      <c r="E57" s="17"/>
      <c r="F57" s="17"/>
      <c r="G57" s="23"/>
      <c r="H57" s="17"/>
      <c r="I57" s="18"/>
    </row>
    <row r="58" spans="1:9">
      <c r="A58" s="21"/>
      <c r="B58" s="17"/>
      <c r="C58" s="17"/>
      <c r="D58" s="17"/>
      <c r="E58" s="17"/>
      <c r="F58" s="17"/>
      <c r="G58" s="23"/>
      <c r="H58" s="17"/>
      <c r="I58" s="18"/>
    </row>
    <row r="59" spans="1:9">
      <c r="A59" s="21"/>
      <c r="B59" s="17"/>
      <c r="C59" s="17"/>
      <c r="D59" s="17"/>
      <c r="E59" s="17"/>
      <c r="F59" s="17"/>
      <c r="G59" s="23"/>
      <c r="H59" s="17"/>
      <c r="I59" s="18"/>
    </row>
    <row r="60" spans="1:9">
      <c r="A60" s="21"/>
      <c r="B60" s="17"/>
      <c r="C60" s="17"/>
      <c r="D60" s="17"/>
      <c r="E60" s="17"/>
      <c r="F60" s="17"/>
      <c r="G60" s="23"/>
      <c r="H60" s="17"/>
      <c r="I60" s="18"/>
    </row>
    <row r="61" spans="1:9">
      <c r="A61" s="21"/>
      <c r="B61" s="17"/>
      <c r="C61" s="17"/>
      <c r="D61" s="17"/>
      <c r="E61" s="17"/>
      <c r="F61" s="17"/>
      <c r="G61" s="23"/>
      <c r="H61" s="17"/>
      <c r="I61" s="18"/>
    </row>
    <row r="62" spans="1:9">
      <c r="A62" s="21"/>
      <c r="B62" s="17"/>
      <c r="C62" s="17"/>
      <c r="D62" s="17"/>
      <c r="E62" s="17"/>
      <c r="F62" s="17"/>
      <c r="G62" s="23"/>
      <c r="H62" s="17"/>
      <c r="I62" s="18"/>
    </row>
    <row r="63" spans="1:9">
      <c r="A63" s="21"/>
      <c r="B63" s="17"/>
      <c r="C63" s="17"/>
      <c r="D63" s="17"/>
      <c r="E63" s="17"/>
      <c r="F63" s="17"/>
      <c r="G63" s="23"/>
      <c r="H63" s="17"/>
      <c r="I63" s="18"/>
    </row>
    <row r="64" spans="1:9">
      <c r="A64" s="21"/>
      <c r="B64" s="17"/>
      <c r="C64" s="17"/>
      <c r="D64" s="17"/>
      <c r="E64" s="17"/>
      <c r="F64" s="17"/>
      <c r="G64" s="23"/>
      <c r="H64" s="17"/>
      <c r="I64" s="18"/>
    </row>
    <row r="65" spans="1:9">
      <c r="A65" s="21"/>
      <c r="B65" s="17"/>
      <c r="C65" s="17"/>
      <c r="D65" s="17"/>
      <c r="E65" s="17"/>
      <c r="F65" s="17"/>
      <c r="G65" s="23"/>
      <c r="H65" s="17"/>
      <c r="I65" s="18"/>
    </row>
    <row r="66" spans="1:9">
      <c r="A66" s="21"/>
      <c r="B66" s="17"/>
      <c r="C66" s="17"/>
      <c r="D66" s="17"/>
      <c r="E66" s="17"/>
      <c r="F66" s="17"/>
      <c r="G66" s="23"/>
      <c r="H66" s="17"/>
      <c r="I66" s="18"/>
    </row>
    <row r="67" spans="1:9">
      <c r="A67" s="21"/>
      <c r="B67" s="17"/>
      <c r="C67" s="17"/>
      <c r="D67" s="17"/>
      <c r="E67" s="17"/>
      <c r="F67" s="17"/>
      <c r="G67" s="23"/>
      <c r="H67" s="17"/>
      <c r="I67" s="18"/>
    </row>
    <row r="68" spans="1:9">
      <c r="A68" s="21"/>
      <c r="B68" s="17"/>
      <c r="C68" s="17"/>
      <c r="D68" s="17"/>
      <c r="E68" s="17"/>
      <c r="F68" s="17"/>
      <c r="G68" s="23"/>
      <c r="H68" s="17"/>
      <c r="I68" s="18"/>
    </row>
    <row r="69" spans="1:9">
      <c r="A69" s="21"/>
      <c r="B69" s="17"/>
      <c r="C69" s="17"/>
      <c r="D69" s="17"/>
      <c r="E69" s="17"/>
      <c r="F69" s="17"/>
      <c r="G69" s="23"/>
      <c r="H69" s="17"/>
      <c r="I69" s="18"/>
    </row>
    <row r="70" spans="1:9">
      <c r="A70" s="21"/>
      <c r="B70" s="17"/>
      <c r="C70" s="17"/>
      <c r="D70" s="17"/>
      <c r="E70" s="17"/>
      <c r="F70" s="17"/>
      <c r="G70" s="23"/>
      <c r="H70" s="17"/>
      <c r="I70" s="18"/>
    </row>
    <row r="71" spans="1:9">
      <c r="A71" s="21"/>
      <c r="B71" s="17"/>
      <c r="C71" s="17"/>
      <c r="D71" s="17"/>
      <c r="E71" s="17"/>
      <c r="F71" s="17"/>
      <c r="G71" s="23"/>
      <c r="H71" s="17"/>
      <c r="I71" s="18"/>
    </row>
    <row r="72" spans="1:9">
      <c r="A72" s="21"/>
      <c r="B72" s="17"/>
      <c r="C72" s="17"/>
      <c r="D72" s="17"/>
      <c r="E72" s="17"/>
      <c r="F72" s="17"/>
      <c r="G72" s="23"/>
      <c r="H72" s="17"/>
      <c r="I72" s="18"/>
    </row>
    <row r="73" spans="1:9">
      <c r="A73" s="21"/>
      <c r="B73" s="17"/>
      <c r="C73" s="17"/>
      <c r="D73" s="17"/>
      <c r="E73" s="17"/>
      <c r="F73" s="17"/>
      <c r="G73" s="23"/>
      <c r="H73" s="17"/>
      <c r="I73" s="18"/>
    </row>
    <row r="74" spans="1:9">
      <c r="A74" s="21"/>
      <c r="B74" s="17"/>
      <c r="C74" s="17"/>
      <c r="D74" s="17"/>
      <c r="E74" s="17"/>
      <c r="F74" s="17"/>
      <c r="G74" s="23"/>
      <c r="H74" s="17"/>
      <c r="I74" s="18"/>
    </row>
    <row r="75" spans="1:9">
      <c r="A75" s="21"/>
      <c r="B75" s="17"/>
      <c r="C75" s="17"/>
      <c r="D75" s="17"/>
      <c r="E75" s="17"/>
      <c r="F75" s="17"/>
      <c r="G75" s="23"/>
      <c r="H75" s="17"/>
      <c r="I75" s="18"/>
    </row>
    <row r="76" spans="1:9">
      <c r="A76" s="21"/>
      <c r="B76" s="17"/>
      <c r="C76" s="17"/>
      <c r="D76" s="17"/>
      <c r="E76" s="17"/>
      <c r="F76" s="17"/>
      <c r="G76" s="23"/>
      <c r="H76" s="17"/>
      <c r="I76" s="18"/>
    </row>
    <row r="77" spans="1:9">
      <c r="A77" s="21"/>
      <c r="B77" s="17"/>
      <c r="C77" s="17"/>
      <c r="D77" s="17"/>
      <c r="E77" s="17"/>
      <c r="F77" s="17"/>
      <c r="G77" s="23"/>
      <c r="H77" s="17"/>
      <c r="I77" s="18"/>
    </row>
    <row r="78" spans="1:9">
      <c r="A78" s="21"/>
      <c r="B78" s="17"/>
      <c r="C78" s="17"/>
      <c r="D78" s="17"/>
      <c r="E78" s="17"/>
      <c r="F78" s="17"/>
      <c r="G78" s="23"/>
      <c r="H78" s="17"/>
      <c r="I78" s="18"/>
    </row>
    <row r="79" spans="1:9">
      <c r="A79" s="21"/>
      <c r="B79" s="17"/>
      <c r="C79" s="17"/>
      <c r="D79" s="17"/>
      <c r="E79" s="17"/>
      <c r="F79" s="17"/>
      <c r="G79" s="23"/>
      <c r="H79" s="17"/>
      <c r="I79" s="18"/>
    </row>
    <row r="80" spans="1:9">
      <c r="A80" s="21"/>
      <c r="B80" s="17"/>
      <c r="C80" s="17"/>
      <c r="D80" s="17"/>
      <c r="E80" s="17"/>
      <c r="F80" s="17"/>
      <c r="G80" s="23"/>
      <c r="H80" s="17"/>
      <c r="I80" s="18"/>
    </row>
    <row r="81" spans="1:9">
      <c r="A81" s="21"/>
      <c r="B81" s="17"/>
      <c r="C81" s="17"/>
      <c r="D81" s="17"/>
      <c r="E81" s="17"/>
      <c r="F81" s="17"/>
      <c r="G81" s="23"/>
      <c r="H81" s="17"/>
      <c r="I81" s="18"/>
    </row>
    <row r="82" spans="1:9">
      <c r="A82" s="21"/>
      <c r="B82" s="17"/>
      <c r="C82" s="17"/>
      <c r="D82" s="17"/>
      <c r="E82" s="17"/>
      <c r="F82" s="17"/>
      <c r="G82" s="23"/>
      <c r="H82" s="17"/>
      <c r="I82" s="18"/>
    </row>
    <row r="83" spans="1:9">
      <c r="A83" s="21"/>
      <c r="B83" s="17"/>
      <c r="C83" s="17"/>
      <c r="D83" s="17"/>
      <c r="E83" s="17"/>
      <c r="F83" s="17"/>
      <c r="G83" s="23"/>
      <c r="H83" s="17"/>
      <c r="I83" s="18"/>
    </row>
    <row r="84" spans="1:9">
      <c r="A84" s="21"/>
      <c r="B84" s="17"/>
      <c r="C84" s="17"/>
      <c r="D84" s="17"/>
      <c r="E84" s="17"/>
      <c r="F84" s="17"/>
      <c r="G84" s="23"/>
      <c r="H84" s="17"/>
      <c r="I84" s="18"/>
    </row>
    <row r="85" spans="1:9">
      <c r="A85" s="21"/>
      <c r="B85" s="17"/>
      <c r="C85" s="17"/>
      <c r="D85" s="17"/>
      <c r="E85" s="17"/>
      <c r="F85" s="17"/>
      <c r="G85" s="23"/>
      <c r="H85" s="17"/>
      <c r="I85" s="18"/>
    </row>
    <row r="86" spans="1:9">
      <c r="A86" s="21"/>
      <c r="B86" s="17"/>
      <c r="C86" s="17"/>
      <c r="D86" s="17"/>
      <c r="E86" s="17"/>
      <c r="F86" s="17"/>
      <c r="G86" s="23"/>
      <c r="H86" s="17"/>
      <c r="I86" s="18"/>
    </row>
    <row r="87" spans="1:9">
      <c r="A87" s="21"/>
      <c r="B87" s="17"/>
      <c r="C87" s="17"/>
      <c r="D87" s="17"/>
      <c r="E87" s="17"/>
      <c r="F87" s="17"/>
      <c r="G87" s="23"/>
      <c r="H87" s="17"/>
      <c r="I87" s="18"/>
    </row>
    <row r="88" spans="1:9">
      <c r="A88" s="21"/>
      <c r="B88" s="17"/>
      <c r="C88" s="17"/>
      <c r="D88" s="17"/>
      <c r="E88" s="17"/>
      <c r="F88" s="17"/>
      <c r="G88" s="23"/>
      <c r="H88" s="17"/>
      <c r="I88" s="18"/>
    </row>
    <row r="89" spans="1:9">
      <c r="A89" s="21"/>
      <c r="B89" s="17"/>
      <c r="C89" s="17"/>
      <c r="D89" s="17"/>
      <c r="E89" s="17"/>
      <c r="F89" s="17"/>
      <c r="G89" s="23"/>
      <c r="H89" s="17"/>
      <c r="I89" s="18"/>
    </row>
    <row r="90" spans="1:9">
      <c r="A90" s="21"/>
      <c r="B90" s="17"/>
      <c r="C90" s="17"/>
      <c r="D90" s="17"/>
      <c r="E90" s="17"/>
      <c r="F90" s="17"/>
      <c r="G90" s="23"/>
      <c r="H90" s="17"/>
      <c r="I90" s="18"/>
    </row>
    <row r="91" spans="1:9">
      <c r="A91" s="21"/>
      <c r="B91" s="17"/>
      <c r="C91" s="17"/>
      <c r="D91" s="17"/>
      <c r="E91" s="17"/>
      <c r="F91" s="17"/>
      <c r="G91" s="23"/>
      <c r="H91" s="17"/>
      <c r="I91" s="18"/>
    </row>
    <row r="92" spans="1:9">
      <c r="A92" s="21"/>
      <c r="B92" s="17"/>
      <c r="C92" s="17"/>
      <c r="D92" s="17"/>
      <c r="E92" s="17"/>
      <c r="F92" s="17"/>
      <c r="G92" s="23"/>
      <c r="H92" s="17"/>
      <c r="I92" s="18"/>
    </row>
    <row r="93" spans="1:9">
      <c r="A93" s="21"/>
      <c r="B93" s="17"/>
      <c r="C93" s="17"/>
      <c r="D93" s="17"/>
      <c r="E93" s="17"/>
      <c r="F93" s="17"/>
      <c r="G93" s="23"/>
      <c r="H93" s="17"/>
      <c r="I93" s="18"/>
    </row>
    <row r="94" spans="1:9">
      <c r="A94" s="21"/>
      <c r="B94" s="17"/>
      <c r="C94" s="17"/>
      <c r="D94" s="17"/>
      <c r="E94" s="17"/>
      <c r="F94" s="17"/>
      <c r="G94" s="23"/>
      <c r="H94" s="17"/>
      <c r="I94" s="18"/>
    </row>
    <row r="95" spans="1:9">
      <c r="A95" s="21"/>
      <c r="B95" s="17"/>
      <c r="C95" s="17"/>
      <c r="D95" s="17"/>
      <c r="E95" s="17"/>
      <c r="F95" s="17"/>
      <c r="G95" s="23"/>
      <c r="H95" s="17"/>
      <c r="I95" s="18"/>
    </row>
    <row r="96" spans="1:9">
      <c r="A96" s="21"/>
      <c r="B96" s="17"/>
      <c r="C96" s="17"/>
      <c r="D96" s="17"/>
      <c r="E96" s="17"/>
      <c r="F96" s="17"/>
      <c r="G96" s="23"/>
      <c r="H96" s="17"/>
      <c r="I96" s="18"/>
    </row>
    <row r="97" spans="1:9">
      <c r="A97" s="21"/>
      <c r="B97" s="17"/>
      <c r="C97" s="17"/>
      <c r="D97" s="17"/>
      <c r="E97" s="17"/>
      <c r="F97" s="17"/>
      <c r="G97" s="23"/>
      <c r="H97" s="17"/>
      <c r="I97" s="18"/>
    </row>
    <row r="98" spans="1:9">
      <c r="A98" s="21"/>
      <c r="B98" s="17"/>
      <c r="C98" s="17"/>
      <c r="D98" s="17"/>
      <c r="E98" s="17"/>
      <c r="F98" s="17"/>
      <c r="G98" s="23"/>
      <c r="H98" s="17"/>
      <c r="I98" s="18"/>
    </row>
    <row r="99" spans="1:9">
      <c r="A99" s="21"/>
      <c r="B99" s="17"/>
      <c r="C99" s="17"/>
      <c r="D99" s="17"/>
      <c r="E99" s="17"/>
      <c r="F99" s="17"/>
      <c r="G99" s="23"/>
      <c r="H99" s="17"/>
      <c r="I99" s="18"/>
    </row>
    <row r="100" spans="1:9">
      <c r="A100" s="21"/>
      <c r="B100" s="17"/>
      <c r="C100" s="17"/>
      <c r="D100" s="17"/>
      <c r="E100" s="17"/>
      <c r="F100" s="17"/>
      <c r="G100" s="23"/>
      <c r="H100" s="17"/>
      <c r="I100" s="18"/>
    </row>
    <row r="101" spans="1:9">
      <c r="A101" s="21"/>
      <c r="B101" s="17"/>
      <c r="C101" s="17"/>
      <c r="D101" s="17"/>
      <c r="E101" s="17"/>
      <c r="F101" s="17"/>
      <c r="G101" s="23"/>
      <c r="H101" s="17"/>
      <c r="I101" s="18"/>
    </row>
    <row r="102" spans="1:9">
      <c r="A102" s="21"/>
      <c r="B102" s="17"/>
      <c r="C102" s="17"/>
      <c r="D102" s="17"/>
      <c r="E102" s="17"/>
      <c r="F102" s="17"/>
      <c r="G102" s="23"/>
      <c r="H102" s="17"/>
      <c r="I102" s="18"/>
    </row>
    <row r="103" spans="1:9">
      <c r="A103" s="22"/>
      <c r="B103" s="19"/>
      <c r="C103" s="19"/>
      <c r="D103" s="19"/>
      <c r="E103" s="19"/>
      <c r="F103" s="19"/>
      <c r="G103" s="24"/>
      <c r="H103" s="19"/>
      <c r="I103" s="20"/>
    </row>
  </sheetData>
  <mergeCells count="1">
    <mergeCell ref="A1:I1"/>
  </mergeCell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xr:uid="{00000000-0002-0000-0200-000000000000}">
          <x14:formula1>
            <xm:f>Listas!$B$2:$B$9</xm:f>
          </x14:formula1>
          <xm:sqref>H4:H103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8"/>
  <sheetViews>
    <sheetView workbookViewId="0"/>
  </sheetViews>
  <sheetFormatPr baseColWidth="10" defaultColWidth="8.796875" defaultRowHeight="13.8"/>
  <cols>
    <col min="1" max="1" width="8" customWidth="1"/>
    <col min="2" max="2" width="32" customWidth="1"/>
    <col min="3" max="3" width="66" customWidth="1"/>
    <col min="4" max="8" width="10" customWidth="1"/>
  </cols>
  <sheetData>
    <row r="1" spans="1:8" ht="27.15" customHeight="1">
      <c r="A1" s="86" t="s">
        <v>137</v>
      </c>
      <c r="B1" s="60"/>
      <c r="C1" s="60"/>
      <c r="D1" s="60"/>
      <c r="E1" s="60"/>
      <c r="F1" s="60"/>
      <c r="G1" s="60"/>
      <c r="H1" s="60"/>
    </row>
    <row r="3" spans="1:8">
      <c r="A3" s="87" t="s">
        <v>138</v>
      </c>
      <c r="B3" s="60"/>
      <c r="C3" s="60"/>
      <c r="D3" s="60"/>
      <c r="E3" s="60"/>
      <c r="F3" s="60"/>
      <c r="G3" s="60"/>
      <c r="H3" s="60"/>
    </row>
    <row r="4" spans="1:8">
      <c r="A4" s="88" t="s">
        <v>139</v>
      </c>
      <c r="B4" s="60"/>
      <c r="C4" s="60"/>
      <c r="D4" s="60"/>
      <c r="E4" s="60"/>
      <c r="F4" s="60"/>
      <c r="G4" s="60"/>
      <c r="H4" s="60"/>
    </row>
    <row r="5" spans="1:8">
      <c r="A5" s="60"/>
      <c r="B5" s="60"/>
      <c r="C5" s="60"/>
      <c r="D5" s="60"/>
      <c r="E5" s="60"/>
      <c r="F5" s="60"/>
      <c r="G5" s="60"/>
      <c r="H5" s="60"/>
    </row>
    <row r="7" spans="1:8">
      <c r="A7" s="89" t="s">
        <v>140</v>
      </c>
      <c r="B7" s="60"/>
      <c r="C7" s="60"/>
      <c r="D7" s="60"/>
      <c r="E7" s="60"/>
      <c r="F7" s="60"/>
      <c r="G7" s="60"/>
      <c r="H7" s="60"/>
    </row>
    <row r="8" spans="1:8">
      <c r="A8" s="48" t="s">
        <v>141</v>
      </c>
      <c r="B8" s="42" t="s">
        <v>142</v>
      </c>
      <c r="C8" s="43" t="s">
        <v>143</v>
      </c>
    </row>
    <row r="9" spans="1:8" ht="27.6">
      <c r="A9" s="49" t="s">
        <v>144</v>
      </c>
      <c r="B9" s="44" t="s">
        <v>145</v>
      </c>
      <c r="C9" s="45" t="s">
        <v>146</v>
      </c>
    </row>
    <row r="10" spans="1:8">
      <c r="A10" s="49" t="s">
        <v>147</v>
      </c>
      <c r="B10" s="44" t="s">
        <v>148</v>
      </c>
      <c r="C10" s="45" t="s">
        <v>149</v>
      </c>
    </row>
    <row r="11" spans="1:8">
      <c r="A11" s="49" t="s">
        <v>150</v>
      </c>
      <c r="B11" s="44" t="s">
        <v>151</v>
      </c>
      <c r="C11" s="45" t="s">
        <v>152</v>
      </c>
    </row>
    <row r="12" spans="1:8">
      <c r="A12" s="49" t="s">
        <v>153</v>
      </c>
      <c r="B12" s="44" t="s">
        <v>154</v>
      </c>
      <c r="C12" s="45" t="s">
        <v>155</v>
      </c>
    </row>
    <row r="13" spans="1:8">
      <c r="A13" s="50" t="s">
        <v>156</v>
      </c>
      <c r="B13" s="46" t="s">
        <v>157</v>
      </c>
      <c r="C13" s="47" t="s">
        <v>158</v>
      </c>
    </row>
    <row r="16" spans="1:8">
      <c r="A16" s="87" t="s">
        <v>159</v>
      </c>
      <c r="B16" s="60"/>
      <c r="C16" s="60"/>
      <c r="D16" s="60"/>
      <c r="E16" s="60"/>
      <c r="F16" s="60"/>
      <c r="G16" s="60"/>
      <c r="H16" s="60"/>
    </row>
    <row r="17" spans="1:8">
      <c r="A17" s="90" t="s">
        <v>160</v>
      </c>
      <c r="B17" s="60"/>
      <c r="C17" s="60"/>
      <c r="D17" s="60"/>
      <c r="E17" s="60"/>
      <c r="F17" s="60"/>
      <c r="G17" s="60"/>
      <c r="H17" s="60"/>
    </row>
    <row r="18" spans="1:8">
      <c r="A18" s="60"/>
      <c r="B18" s="60"/>
      <c r="C18" s="60"/>
      <c r="D18" s="60"/>
      <c r="E18" s="60"/>
      <c r="F18" s="60"/>
      <c r="G18" s="60"/>
      <c r="H18" s="60"/>
    </row>
  </sheetData>
  <mergeCells count="6">
    <mergeCell ref="A17:H18"/>
    <mergeCell ref="A1:H1"/>
    <mergeCell ref="A3:H3"/>
    <mergeCell ref="A4:H5"/>
    <mergeCell ref="A7:H7"/>
    <mergeCell ref="A16:H16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9"/>
  <sheetViews>
    <sheetView workbookViewId="0"/>
  </sheetViews>
  <sheetFormatPr baseColWidth="10" defaultColWidth="8.796875" defaultRowHeight="13.8"/>
  <cols>
    <col min="1" max="5" width="24" customWidth="1"/>
  </cols>
  <sheetData>
    <row r="1" spans="1:5">
      <c r="A1" s="1" t="s">
        <v>161</v>
      </c>
      <c r="B1" s="1" t="s">
        <v>162</v>
      </c>
      <c r="C1" s="1" t="s">
        <v>163</v>
      </c>
      <c r="D1" s="1" t="s">
        <v>164</v>
      </c>
      <c r="E1" s="1" t="s">
        <v>165</v>
      </c>
    </row>
    <row r="2" spans="1:5">
      <c r="A2" t="s">
        <v>15</v>
      </c>
      <c r="B2" t="s">
        <v>16</v>
      </c>
      <c r="C2" t="s">
        <v>30</v>
      </c>
      <c r="D2" t="s">
        <v>61</v>
      </c>
      <c r="E2" t="s">
        <v>166</v>
      </c>
    </row>
    <row r="3" spans="1:5">
      <c r="A3" t="s">
        <v>17</v>
      </c>
      <c r="B3" t="s">
        <v>18</v>
      </c>
      <c r="C3" t="s">
        <v>32</v>
      </c>
      <c r="D3" t="s">
        <v>167</v>
      </c>
      <c r="E3" t="s">
        <v>168</v>
      </c>
    </row>
    <row r="4" spans="1:5">
      <c r="A4" t="s">
        <v>19</v>
      </c>
      <c r="B4" t="s">
        <v>4</v>
      </c>
      <c r="C4" t="s">
        <v>34</v>
      </c>
      <c r="D4" t="s">
        <v>56</v>
      </c>
    </row>
    <row r="5" spans="1:5">
      <c r="A5" t="s">
        <v>20</v>
      </c>
      <c r="B5" t="s">
        <v>21</v>
      </c>
      <c r="D5" t="s">
        <v>169</v>
      </c>
    </row>
    <row r="6" spans="1:5">
      <c r="A6" t="s">
        <v>22</v>
      </c>
      <c r="B6" t="s">
        <v>23</v>
      </c>
      <c r="D6" t="s">
        <v>170</v>
      </c>
    </row>
    <row r="7" spans="1:5">
      <c r="A7" t="s">
        <v>24</v>
      </c>
      <c r="B7" t="s">
        <v>25</v>
      </c>
    </row>
    <row r="8" spans="1:5">
      <c r="B8" t="s">
        <v>26</v>
      </c>
    </row>
    <row r="9" spans="1:5">
      <c r="B9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Dashboard</vt:lpstr>
      <vt:lpstr>Matriz_Control</vt:lpstr>
      <vt:lpstr>Registro_Reuniones</vt:lpstr>
      <vt:lpstr>Guia_Uso</vt:lpstr>
      <vt:lpstr>Listas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Gustavo Regalado</cp:lastModifiedBy>
  <dcterms:modified xsi:type="dcterms:W3CDTF">2026-05-25T23:14:36Z</dcterms:modified>
</cp:coreProperties>
</file>